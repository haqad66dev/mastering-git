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3801"/>
  <workbookPr defaultThemeVersion="166925"/>
  <mc:AlternateContent xmlns:mc="http://schemas.openxmlformats.org/markup-compatibility/2006">
    <mc:Choice Requires="x15">
      <x15ac:absPath xmlns:x15ac="http://schemas.microsoft.com/office/spreadsheetml/2010/11/ac" url="F:\_PrivateLibrary\_Uber&amp;Ola\"/>
    </mc:Choice>
  </mc:AlternateContent>
  <xr:revisionPtr revIDLastSave="0" documentId="13_ncr:1_{8CED4935-549C-4D5A-BDA3-91DF025EC66B}" xr6:coauthVersionLast="46" xr6:coauthVersionMax="46" xr10:uidLastSave="{00000000-0000-0000-0000-000000000000}"/>
  <bookViews>
    <workbookView xWindow="-120" yWindow="-120" windowWidth="20730" windowHeight="11160" activeTab="2" xr2:uid="{781428AF-E2D3-4694-9C0C-1B81E16160E9}"/>
  </bookViews>
  <sheets>
    <sheet name="Raw" sheetId="1" r:id="rId1"/>
    <sheet name="Final" sheetId="2" r:id="rId2"/>
    <sheet name="CarRent" sheetId="6" r:id="rId3"/>
    <sheet name="Rideshare" sheetId="3" r:id="rId4"/>
    <sheet name="HouseRent" sheetId="5" r:id="rId5"/>
    <sheet name="Setting" sheetId="4" r:id="rId6"/>
  </sheets>
  <definedNames>
    <definedName name="BankAccount">Setting!$B$2:$B$5</definedName>
    <definedName name="PetrolStation">Setting!$C$2:$C$4</definedName>
    <definedName name="RideshareName">Setting!$A$2:$A$6</definedName>
    <definedName name="Slicer_helper_month">#N/A</definedName>
    <definedName name="Slicer_helper_weekday">#N/A</definedName>
    <definedName name="Slicer_Store_ID_Readable">#N/A</definedName>
    <definedName name="Slicer_Year">#N/A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7"/>
        <x14:slicerCache r:id="rId8"/>
        <x14:slicerCache r:id="rId9"/>
        <x14:slicerCache r:id="rId10"/>
      </x15:slicerCaches>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4" i="6" l="1"/>
  <c r="A5" i="6" s="1"/>
  <c r="A6" i="6" s="1"/>
  <c r="A7" i="6" s="1"/>
  <c r="A8" i="6" s="1"/>
  <c r="A9" i="6" s="1"/>
  <c r="A10" i="6" s="1"/>
  <c r="A11" i="6" s="1"/>
  <c r="A12" i="6" s="1"/>
  <c r="A13" i="6" s="1"/>
  <c r="A14" i="6" s="1"/>
  <c r="A15" i="6" s="1"/>
  <c r="A16" i="6" s="1"/>
  <c r="A17" i="6" s="1"/>
  <c r="A18" i="6" s="1"/>
  <c r="A19" i="6" s="1"/>
  <c r="A20" i="6" s="1"/>
  <c r="A21" i="6" s="1"/>
  <c r="A22" i="6" s="1"/>
  <c r="A23" i="6" s="1"/>
  <c r="A24" i="6" s="1"/>
  <c r="A25" i="6" s="1"/>
  <c r="A26" i="6" s="1"/>
  <c r="A27" i="6" s="1"/>
  <c r="A28" i="6" s="1"/>
  <c r="A29" i="6" s="1"/>
  <c r="A30" i="6" s="1"/>
  <c r="A31" i="6" s="1"/>
  <c r="A32" i="6" s="1"/>
  <c r="A33" i="6" s="1"/>
  <c r="A34" i="6" s="1"/>
  <c r="A35" i="6" s="1"/>
  <c r="A36" i="6" s="1"/>
  <c r="A37" i="6" s="1"/>
  <c r="A38" i="6" s="1"/>
  <c r="A39" i="6" s="1"/>
  <c r="A40" i="6" s="1"/>
  <c r="A41" i="6" s="1"/>
  <c r="A42" i="6" s="1"/>
  <c r="A43" i="6" s="1"/>
  <c r="A44" i="6" s="1"/>
  <c r="A45" i="6" s="1"/>
  <c r="A46" i="6" s="1"/>
  <c r="A47" i="6" s="1"/>
  <c r="A48" i="6" s="1"/>
  <c r="A49" i="6" s="1"/>
  <c r="A50" i="6" s="1"/>
  <c r="A51" i="6" s="1"/>
  <c r="A52" i="6" s="1"/>
  <c r="A53" i="6" s="1"/>
  <c r="A54" i="6" s="1"/>
  <c r="A55" i="6" s="1"/>
  <c r="A56" i="6" s="1"/>
  <c r="A57" i="6" s="1"/>
  <c r="A58" i="6" s="1"/>
  <c r="A59" i="6" s="1"/>
  <c r="A60" i="6" s="1"/>
  <c r="A61" i="6" s="1"/>
  <c r="A62" i="6" s="1"/>
  <c r="A63" i="6" s="1"/>
  <c r="A64" i="6" s="1"/>
  <c r="A65" i="6" s="1"/>
  <c r="A66" i="6" s="1"/>
  <c r="A67" i="6" s="1"/>
  <c r="A68" i="6" s="1"/>
  <c r="A69" i="6" s="1"/>
  <c r="A70" i="6" s="1"/>
  <c r="A71" i="6" s="1"/>
  <c r="A72" i="6" s="1"/>
  <c r="A73" i="6" s="1"/>
  <c r="A74" i="6" s="1"/>
  <c r="A75" i="6" s="1"/>
  <c r="A76" i="6" s="1"/>
  <c r="A77" i="6" s="1"/>
  <c r="A78" i="6" s="1"/>
  <c r="A79" i="6" s="1"/>
  <c r="A80" i="6" s="1"/>
  <c r="A81" i="6" s="1"/>
  <c r="A82" i="6" s="1"/>
  <c r="A83" i="6" s="1"/>
  <c r="A84" i="6" s="1"/>
  <c r="A85" i="6" s="1"/>
  <c r="A86" i="6" s="1"/>
  <c r="A87" i="6" s="1"/>
  <c r="A88" i="6" s="1"/>
  <c r="A89" i="6" s="1"/>
  <c r="A90" i="6" s="1"/>
  <c r="A91" i="6" s="1"/>
  <c r="A92" i="6" s="1"/>
  <c r="A93" i="6" s="1"/>
  <c r="A94" i="6" s="1"/>
  <c r="A95" i="6" s="1"/>
  <c r="A96" i="6" s="1"/>
  <c r="A97" i="6" s="1"/>
  <c r="A98" i="6" s="1"/>
  <c r="A99" i="6" s="1"/>
  <c r="A100" i="6" s="1"/>
  <c r="A101" i="6" s="1"/>
  <c r="A102" i="6" s="1"/>
  <c r="A103" i="6" s="1"/>
  <c r="A104" i="6" s="1"/>
  <c r="A105" i="6" s="1"/>
  <c r="A106" i="6" s="1"/>
  <c r="A107" i="6" s="1"/>
  <c r="A108" i="6" s="1"/>
  <c r="A109" i="6" s="1"/>
  <c r="A110" i="6" s="1"/>
  <c r="A111" i="6" s="1"/>
  <c r="A112" i="6" s="1"/>
  <c r="A113" i="6" s="1"/>
  <c r="A114" i="6" s="1"/>
  <c r="A115" i="6" s="1"/>
  <c r="A116" i="6" s="1"/>
  <c r="A117" i="6" s="1"/>
  <c r="A118" i="6" s="1"/>
  <c r="A119" i="6" s="1"/>
  <c r="A120" i="6" s="1"/>
  <c r="A121" i="6" s="1"/>
  <c r="A122" i="6" s="1"/>
  <c r="A123" i="6" s="1"/>
  <c r="A124" i="6" s="1"/>
  <c r="A125" i="6" s="1"/>
  <c r="A126" i="6" s="1"/>
  <c r="A127" i="6" s="1"/>
  <c r="A128" i="6" s="1"/>
  <c r="A129" i="6" s="1"/>
  <c r="A130" i="6" s="1"/>
  <c r="A131" i="6" s="1"/>
  <c r="A132" i="6" s="1"/>
  <c r="A133" i="6" s="1"/>
  <c r="A134" i="6" s="1"/>
  <c r="A135" i="6" s="1"/>
  <c r="A136" i="6" s="1"/>
  <c r="A137" i="6" s="1"/>
  <c r="A138" i="6" s="1"/>
  <c r="A139" i="6" s="1"/>
  <c r="A3" i="6"/>
  <c r="A4" i="3"/>
  <c r="A5" i="3" s="1"/>
  <c r="A6" i="3" s="1"/>
  <c r="A7" i="3" s="1"/>
  <c r="A8" i="3" s="1"/>
  <c r="A9" i="3" s="1"/>
  <c r="A10" i="3" s="1"/>
  <c r="A11" i="3" s="1"/>
  <c r="A12" i="3" s="1"/>
  <c r="A13" i="3" s="1"/>
  <c r="A14" i="3" s="1"/>
  <c r="A15" i="3" s="1"/>
  <c r="A16" i="3" s="1"/>
  <c r="A17" i="3" s="1"/>
  <c r="A18" i="3" s="1"/>
  <c r="A19" i="3" s="1"/>
  <c r="A20" i="3" s="1"/>
  <c r="A21" i="3" s="1"/>
  <c r="A22" i="3" s="1"/>
  <c r="A23" i="3" s="1"/>
  <c r="A24" i="3" s="1"/>
  <c r="A25" i="3" s="1"/>
  <c r="A26" i="3" s="1"/>
  <c r="A27" i="3" s="1"/>
  <c r="A28" i="3" s="1"/>
  <c r="A29" i="3" s="1"/>
  <c r="A30" i="3" s="1"/>
  <c r="A31" i="3" s="1"/>
  <c r="A32" i="3" s="1"/>
  <c r="A33" i="3" s="1"/>
  <c r="A34" i="3" s="1"/>
  <c r="A35" i="3" s="1"/>
  <c r="A36" i="3" s="1"/>
  <c r="A37" i="3" s="1"/>
  <c r="A38" i="3" s="1"/>
  <c r="A39" i="3" s="1"/>
  <c r="A40" i="3" s="1"/>
  <c r="A41" i="3" s="1"/>
  <c r="A42" i="3" s="1"/>
  <c r="A43" i="3" s="1"/>
  <c r="A44" i="3" s="1"/>
  <c r="A45" i="3" s="1"/>
  <c r="A46" i="3" s="1"/>
  <c r="A47" i="3" s="1"/>
  <c r="A48" i="3" s="1"/>
  <c r="A49" i="3" s="1"/>
  <c r="A50" i="3" s="1"/>
  <c r="A51" i="3" s="1"/>
  <c r="A52" i="3" s="1"/>
  <c r="A53" i="3" s="1"/>
  <c r="A54" i="3" s="1"/>
  <c r="A55" i="3" s="1"/>
  <c r="A56" i="3" s="1"/>
  <c r="A57" i="3" s="1"/>
  <c r="A58" i="3" s="1"/>
  <c r="A59" i="3" s="1"/>
  <c r="A60" i="3" s="1"/>
  <c r="A61" i="3" s="1"/>
  <c r="A62" i="3" s="1"/>
  <c r="A63" i="3" s="1"/>
  <c r="A64" i="3" s="1"/>
  <c r="A65" i="3" s="1"/>
  <c r="A66" i="3" s="1"/>
  <c r="A67" i="3" s="1"/>
  <c r="A68" i="3" s="1"/>
  <c r="A69" i="3" s="1"/>
  <c r="A70" i="3" s="1"/>
  <c r="A71" i="3" s="1"/>
  <c r="A72" i="3" s="1"/>
  <c r="A73" i="3" s="1"/>
  <c r="A74" i="3" s="1"/>
  <c r="A75" i="3" s="1"/>
  <c r="A76" i="3" s="1"/>
  <c r="A77" i="3" s="1"/>
  <c r="A78" i="3" s="1"/>
  <c r="A79" i="3" s="1"/>
  <c r="A80" i="3" s="1"/>
  <c r="A81" i="3" s="1"/>
  <c r="A82" i="3" s="1"/>
  <c r="A83" i="3" s="1"/>
  <c r="A84" i="3" s="1"/>
  <c r="A85" i="3" s="1"/>
  <c r="A86" i="3" s="1"/>
  <c r="A87" i="3" s="1"/>
  <c r="A88" i="3" s="1"/>
  <c r="A89" i="3" s="1"/>
  <c r="A90" i="3" s="1"/>
  <c r="A91" i="3" s="1"/>
  <c r="A92" i="3" s="1"/>
  <c r="A93" i="3" s="1"/>
  <c r="A94" i="3" s="1"/>
  <c r="A95" i="3" s="1"/>
  <c r="A96" i="3" s="1"/>
  <c r="A97" i="3" s="1"/>
  <c r="A98" i="3" s="1"/>
  <c r="A99" i="3" s="1"/>
  <c r="A100" i="3" s="1"/>
  <c r="A101" i="3" s="1"/>
  <c r="A102" i="3" s="1"/>
  <c r="A103" i="3" s="1"/>
  <c r="A104" i="3" s="1"/>
  <c r="A105" i="3" s="1"/>
  <c r="A106" i="3" s="1"/>
  <c r="A107" i="3" s="1"/>
  <c r="A108" i="3" s="1"/>
  <c r="A109" i="3" s="1"/>
  <c r="A110" i="3" s="1"/>
  <c r="A111" i="3" s="1"/>
  <c r="A112" i="3" s="1"/>
  <c r="A113" i="3" s="1"/>
  <c r="A114" i="3" s="1"/>
  <c r="A115" i="3" s="1"/>
  <c r="A116" i="3" s="1"/>
  <c r="A117" i="3" s="1"/>
  <c r="A118" i="3" s="1"/>
  <c r="A119" i="3" s="1"/>
  <c r="A120" i="3" s="1"/>
  <c r="A121" i="3" s="1"/>
  <c r="A122" i="3" s="1"/>
  <c r="A123" i="3" s="1"/>
  <c r="A124" i="3" s="1"/>
  <c r="A125" i="3" s="1"/>
  <c r="A126" i="3" s="1"/>
  <c r="A127" i="3" s="1"/>
  <c r="A128" i="3" s="1"/>
  <c r="A129" i="3" s="1"/>
  <c r="A130" i="3" s="1"/>
  <c r="A131" i="3" s="1"/>
  <c r="A132" i="3" s="1"/>
  <c r="A133" i="3" s="1"/>
  <c r="A134" i="3" s="1"/>
  <c r="A135" i="3" s="1"/>
  <c r="A136" i="3" s="1"/>
  <c r="A137" i="3" s="1"/>
  <c r="A138" i="3" s="1"/>
  <c r="A139" i="3" s="1"/>
  <c r="A3" i="3"/>
  <c r="O11" i="2"/>
  <c r="O12" i="2"/>
  <c r="O13" i="2"/>
  <c r="O14" i="2"/>
  <c r="O15" i="2"/>
  <c r="O16" i="2"/>
  <c r="O17" i="2"/>
  <c r="O18" i="2"/>
  <c r="O19" i="2"/>
  <c r="O20" i="2"/>
  <c r="O21" i="2"/>
  <c r="O22" i="2"/>
  <c r="O23" i="2"/>
  <c r="O24" i="2"/>
  <c r="O25" i="2"/>
  <c r="O26" i="2"/>
  <c r="O27" i="2"/>
  <c r="O28" i="2"/>
  <c r="O29" i="2"/>
  <c r="O30" i="2"/>
  <c r="O31" i="2"/>
  <c r="O32" i="2"/>
  <c r="O33" i="2"/>
  <c r="O34" i="2"/>
  <c r="O35" i="2"/>
  <c r="O36" i="2"/>
  <c r="O37" i="2"/>
  <c r="O38" i="2"/>
  <c r="O39" i="2"/>
  <c r="O40" i="2"/>
  <c r="N11" i="2"/>
  <c r="N12" i="2"/>
  <c r="N13" i="2"/>
  <c r="N14" i="2"/>
  <c r="N15" i="2"/>
  <c r="N16" i="2"/>
  <c r="N17" i="2"/>
  <c r="N18" i="2"/>
  <c r="N19" i="2"/>
  <c r="N20" i="2"/>
  <c r="N21" i="2"/>
  <c r="N22" i="2"/>
  <c r="N23" i="2"/>
  <c r="N24" i="2"/>
  <c r="N25" i="2"/>
  <c r="N26" i="2"/>
  <c r="N27" i="2"/>
  <c r="N28" i="2"/>
  <c r="N29" i="2"/>
  <c r="N30" i="2"/>
  <c r="N31" i="2"/>
  <c r="N32" i="2"/>
  <c r="N33" i="2"/>
  <c r="N34" i="2"/>
  <c r="N35" i="2"/>
  <c r="N36" i="2"/>
  <c r="N37" i="2"/>
  <c r="N38" i="2"/>
  <c r="N39" i="2"/>
  <c r="N40" i="2"/>
  <c r="L11" i="2" l="1"/>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M11" i="2"/>
  <c r="M12" i="2"/>
  <c r="M13" i="2"/>
  <c r="M14" i="2"/>
  <c r="M15" i="2"/>
  <c r="M16" i="2"/>
  <c r="M17" i="2"/>
  <c r="M18" i="2"/>
  <c r="M19" i="2"/>
  <c r="M20" i="2"/>
  <c r="M21" i="2"/>
  <c r="M22" i="2"/>
  <c r="M23" i="2"/>
  <c r="M24" i="2"/>
  <c r="M25" i="2"/>
  <c r="M26" i="2"/>
  <c r="M27" i="2"/>
  <c r="M28" i="2"/>
  <c r="M29" i="2"/>
  <c r="M30" i="2"/>
  <c r="M31" i="2"/>
  <c r="M32" i="2"/>
  <c r="M33" i="2"/>
  <c r="M34" i="2"/>
  <c r="M35" i="2"/>
  <c r="M36" i="2"/>
  <c r="M37" i="2"/>
  <c r="M38" i="2"/>
  <c r="M39" i="2"/>
  <c r="M40" i="2"/>
</calcChain>
</file>

<file path=xl/sharedStrings.xml><?xml version="1.0" encoding="utf-8"?>
<sst xmlns="http://schemas.openxmlformats.org/spreadsheetml/2006/main" count="741" uniqueCount="58">
  <si>
    <t>asc-1</t>
  </si>
  <si>
    <t>garden</t>
  </si>
  <si>
    <t>asc-2</t>
  </si>
  <si>
    <t>bathroom</t>
  </si>
  <si>
    <t>asc-3</t>
  </si>
  <si>
    <t>kitchen</t>
  </si>
  <si>
    <t>asc-4</t>
  </si>
  <si>
    <t>asc-6</t>
  </si>
  <si>
    <t>asc-7</t>
  </si>
  <si>
    <t>asc-9</t>
  </si>
  <si>
    <t>Total</t>
  </si>
  <si>
    <t>ID</t>
  </si>
  <si>
    <t>Basket ID</t>
  </si>
  <si>
    <t>Item ID</t>
  </si>
  <si>
    <t>Category</t>
  </si>
  <si>
    <t>Qty</t>
  </si>
  <si>
    <t>Price</t>
  </si>
  <si>
    <t>Discount %</t>
  </si>
  <si>
    <t>Tax %</t>
  </si>
  <si>
    <t>DateTime</t>
  </si>
  <si>
    <t>Store ID</t>
  </si>
  <si>
    <t>Month</t>
  </si>
  <si>
    <t>Weekday</t>
  </si>
  <si>
    <t>Year</t>
  </si>
  <si>
    <t>Store ID Readable</t>
  </si>
  <si>
    <t>Name</t>
  </si>
  <si>
    <t>Downtown</t>
  </si>
  <si>
    <t>Midtown</t>
  </si>
  <si>
    <t>Mountain</t>
  </si>
  <si>
    <t>Wholesale</t>
  </si>
  <si>
    <t>Store Sales Analysis</t>
  </si>
  <si>
    <t>RideShare</t>
  </si>
  <si>
    <t>Date</t>
  </si>
  <si>
    <t>Tax</t>
  </si>
  <si>
    <t>Uber</t>
  </si>
  <si>
    <t>None</t>
  </si>
  <si>
    <t>none</t>
  </si>
  <si>
    <t>20/85/2019</t>
  </si>
  <si>
    <t>?</t>
  </si>
  <si>
    <t xml:space="preserve"> </t>
  </si>
  <si>
    <t>Rideshare Name</t>
  </si>
  <si>
    <t>Ola</t>
  </si>
  <si>
    <t>DiDi</t>
  </si>
  <si>
    <t>Doordash</t>
  </si>
  <si>
    <t>Menulog</t>
  </si>
  <si>
    <t>Discount Fuel</t>
  </si>
  <si>
    <t>Week</t>
  </si>
  <si>
    <t>Petrol Station</t>
  </si>
  <si>
    <t>7Eleven</t>
  </si>
  <si>
    <t>Caltex</t>
  </si>
  <si>
    <t>Formula One</t>
  </si>
  <si>
    <t>Company</t>
  </si>
  <si>
    <t>Discount</t>
  </si>
  <si>
    <t>BankAccount</t>
  </si>
  <si>
    <t>Nab-Haitham</t>
  </si>
  <si>
    <t>Comm-Haitham</t>
  </si>
  <si>
    <t>Comm-Nisreen</t>
  </si>
  <si>
    <t>ANZ-Haitham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</si>
</sst>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4" formatCode="_(&quot;$&quot;* #,##0.00_);_(&quot;$&quot;* \(#,##0.00\);_(&quot;$&quot;* &quot;-&quot;??_);_(@_)"/>
    <numFmt numFmtId="164" formatCode="0.00;[Red]0.00"/>
    <numFmt numFmtId="166" formatCode="[$-409]d\-mmm\-yyyy;@"/>
  </numFmts>
  <fonts count="4" x14ac:knownFonts="1">
    <font>
      <sz val="11"/>
      <color theme="1"/>
      <name val="Calibri"/>
      <family val="2"/>
      <scheme val="minor"/>
    </font>
    <font>
      <sz val="11"/>
      <color theme="1"/>
      <name val="Calibri"/>
      <family val="2"/>
      <scheme val="minor"/>
    </font>
    <font>
      <b/>
      <sz val="11"/>
      <color theme="1"/>
      <name val="Calibri"/>
      <family val="2"/>
      <scheme val="minor"/>
    </font>
    <font>
      <sz val="22"/>
      <color theme="1"/>
      <name val="Calibri"/>
      <family val="2"/>
      <scheme val="minor"/>
    </font>
  </fonts>
  <fills count="3">
    <fill>
      <patternFill patternType="none"/>
    </fill>
    <fill>
      <patternFill patternType="gray125"/>
    </fill>
    <fill>
      <patternFill patternType="solid">
        <fgColor rgb="FFFFFF00"/>
        <bgColor indexed="64"/>
      </patternFill>
    </fill>
  </fills>
  <borders count="1">
    <border>
      <left/>
      <right/>
      <top/>
      <bottom/>
      <diagonal/>
    </border>
  </borders>
  <cellStyleXfs count="3">
    <xf numFmtId="0" fontId="0" fillId="0" borderId="0"/>
    <xf numFmtId="44" fontId="1" fillId="0" borderId="0" applyFont="0" applyFill="0" applyBorder="0" applyAlignment="0" applyProtection="0"/>
    <xf numFmtId="9" fontId="1" fillId="0" borderId="0" applyFont="0" applyFill="0" applyBorder="0" applyAlignment="0" applyProtection="0"/>
  </cellStyleXfs>
  <cellXfs count="17">
    <xf numFmtId="0" fontId="0" fillId="0" borderId="0" xfId="0"/>
    <xf numFmtId="14" fontId="0" fillId="0" borderId="0" xfId="0" applyNumberFormat="1"/>
    <xf numFmtId="0" fontId="0" fillId="0" borderId="0" xfId="0" applyNumberFormat="1"/>
    <xf numFmtId="1" fontId="0" fillId="0" borderId="0" xfId="0" applyNumberFormat="1"/>
    <xf numFmtId="44" fontId="0" fillId="0" borderId="0" xfId="1" applyFont="1"/>
    <xf numFmtId="0" fontId="3" fillId="0" borderId="0" xfId="0" applyFont="1" applyAlignment="1">
      <alignment horizontal="left" indent="1"/>
    </xf>
    <xf numFmtId="0" fontId="2" fillId="0" borderId="0" xfId="0" applyFont="1"/>
    <xf numFmtId="10" fontId="0" fillId="0" borderId="0" xfId="2" applyNumberFormat="1" applyFont="1"/>
    <xf numFmtId="0" fontId="2" fillId="0" borderId="0" xfId="0" applyFont="1" applyAlignment="1">
      <alignment horizontal="center" vertical="center"/>
    </xf>
    <xf numFmtId="164" fontId="0" fillId="0" borderId="0" xfId="0" applyNumberFormat="1"/>
    <xf numFmtId="164" fontId="0" fillId="2" borderId="0" xfId="0" applyNumberFormat="1" applyFill="1"/>
    <xf numFmtId="0" fontId="0" fillId="0" borderId="0" xfId="0" applyAlignment="1">
      <alignment horizontal="center" vertical="center"/>
    </xf>
    <xf numFmtId="166" fontId="2" fillId="0" borderId="0" xfId="0" applyNumberFormat="1" applyFont="1" applyAlignment="1">
      <alignment horizontal="center" vertical="center"/>
    </xf>
    <xf numFmtId="166" fontId="0" fillId="0" borderId="0" xfId="0" applyNumberFormat="1"/>
    <xf numFmtId="166" fontId="0" fillId="2" borderId="0" xfId="0" applyNumberFormat="1" applyFill="1"/>
    <xf numFmtId="166" fontId="0" fillId="0" borderId="0" xfId="0" applyNumberFormat="1" applyFont="1"/>
    <xf numFmtId="0" fontId="0" fillId="0" borderId="0" xfId="0" applyAlignment="1">
      <alignment horizontal="left" vertical="center"/>
    </xf>
  </cellXfs>
  <cellStyles count="3">
    <cellStyle name="Currency" xfId="1" builtinId="4"/>
    <cellStyle name="Normal" xfId="0" builtinId="0"/>
    <cellStyle name="Percent" xfId="2" builtinId="5"/>
  </cellStyles>
  <dxfs count="8">
    <dxf>
      <numFmt numFmtId="0" formatCode="General"/>
    </dxf>
    <dxf>
      <numFmt numFmtId="0" formatCode="General"/>
    </dxf>
    <dxf>
      <numFmt numFmtId="0" formatCode="General"/>
    </dxf>
    <dxf>
      <numFmt numFmtId="0" formatCode="General"/>
    </dxf>
    <dxf>
      <numFmt numFmtId="19" formatCode="m/d/yyyy"/>
    </dxf>
    <dxf>
      <font>
        <b val="0"/>
        <i val="0"/>
        <strike val="0"/>
        <condense val="0"/>
        <extend val="0"/>
        <outline val="0"/>
        <shadow val="0"/>
        <u val="none"/>
        <vertAlign val="baseline"/>
        <sz val="11"/>
        <color theme="1"/>
        <name val="Calibri"/>
        <family val="2"/>
        <scheme val="minor"/>
      </font>
    </dxf>
    <dxf>
      <numFmt numFmtId="14" formatCode="0.00%"/>
    </dxf>
    <dxf>
      <numFmt numFmtId="14" formatCode="0.00%"/>
    </dxf>
  </dxfs>
  <tableStyles count="1" defaultTableStyle="TableStyleMedium2" defaultPivotStyle="PivotStyleLight16">
    <tableStyle name="Slicer Style 1" pivot="0" table="0" count="1" xr9:uid="{8E32F922-24CF-4C18-8988-DE4574635FDD}"/>
  </tableStyles>
  <extLst>
    <ext xmlns:x14="http://schemas.microsoft.com/office/spreadsheetml/2009/9/main" uri="{46F421CA-312F-682f-3DD2-61675219B42D}">
      <x14:dxfs count="1">
        <dxf>
          <fill>
            <patternFill>
              <bgColor theme="4"/>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2.xml"/><Relationship Id="rId13" Type="http://schemas.openxmlformats.org/officeDocument/2006/relationships/sharedStrings" Target="sharedStrings.xml"/><Relationship Id="rId3" Type="http://schemas.openxmlformats.org/officeDocument/2006/relationships/worksheet" Target="worksheets/sheet3.xml"/><Relationship Id="rId7" Type="http://schemas.microsoft.com/office/2007/relationships/slicerCache" Target="slicerCaches/slicerCache1.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microsoft.com/office/2007/relationships/slicerCache" Target="slicerCaches/slicerCache4.xml"/><Relationship Id="rId4" Type="http://schemas.openxmlformats.org/officeDocument/2006/relationships/worksheet" Target="worksheets/sheet4.xml"/><Relationship Id="rId9" Type="http://schemas.microsoft.com/office/2007/relationships/slicerCache" Target="slicerCaches/slicerCache3.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editAs="absolute">
    <xdr:from>
      <xdr:col>8</xdr:col>
      <xdr:colOff>171450</xdr:colOff>
      <xdr:row>1</xdr:row>
      <xdr:rowOff>95250</xdr:rowOff>
    </xdr:from>
    <xdr:to>
      <xdr:col>10</xdr:col>
      <xdr:colOff>466725</xdr:colOff>
      <xdr:row>5</xdr:row>
      <xdr:rowOff>69850</xdr:rowOff>
    </xdr:to>
    <mc:AlternateContent xmlns:mc="http://schemas.openxmlformats.org/markup-compatibility/2006" xmlns:sle15="http://schemas.microsoft.com/office/drawing/2012/slicer">
      <mc:Choice Requires="sle15">
        <xdr:graphicFrame macro="">
          <xdr:nvGraphicFramePr>
            <xdr:cNvPr id="8" name="helper-month">
              <a:extLst>
                <a:ext uri="{FF2B5EF4-FFF2-40B4-BE49-F238E27FC236}">
                  <a16:creationId xmlns:a16="http://schemas.microsoft.com/office/drawing/2014/main" id="{9826CF34-1F4E-4A91-8007-3A454CDB4E32}"/>
                </a:ext>
              </a:extLst>
            </xdr:cNvPr>
            <xdr:cNvGraphicFramePr/>
          </xdr:nvGraphicFramePr>
          <xdr:xfrm>
            <a:off x="0" y="0"/>
            <a:ext cx="0" cy="0"/>
          </xdr:xfrm>
          <a:graphic>
            <a:graphicData uri="http://schemas.microsoft.com/office/drawing/2010/slicer">
              <sle:slicer xmlns:sle="http://schemas.microsoft.com/office/drawing/2010/slicer" name="helper-month"/>
            </a:graphicData>
          </a:graphic>
        </xdr:graphicFrame>
      </mc:Choice>
      <mc:Fallback xmlns="">
        <xdr:sp macro="" textlink="">
          <xdr:nvSpPr>
            <xdr:cNvPr id="0" name=""/>
            <xdr:cNvSpPr>
              <a:spLocks noTextEdit="1"/>
            </xdr:cNvSpPr>
          </xdr:nvSpPr>
          <xdr:spPr>
            <a:xfrm>
              <a:off x="5454650" y="457200"/>
              <a:ext cx="1828800" cy="71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571500</xdr:colOff>
      <xdr:row>1</xdr:row>
      <xdr:rowOff>95250</xdr:rowOff>
    </xdr:from>
    <xdr:to>
      <xdr:col>8</xdr:col>
      <xdr:colOff>76200</xdr:colOff>
      <xdr:row>8</xdr:row>
      <xdr:rowOff>31750</xdr:rowOff>
    </xdr:to>
    <mc:AlternateContent xmlns:mc="http://schemas.openxmlformats.org/markup-compatibility/2006" xmlns:sle15="http://schemas.microsoft.com/office/drawing/2012/slicer">
      <mc:Choice Requires="sle15">
        <xdr:graphicFrame macro="">
          <xdr:nvGraphicFramePr>
            <xdr:cNvPr id="9" name="helper-weekday">
              <a:extLst>
                <a:ext uri="{FF2B5EF4-FFF2-40B4-BE49-F238E27FC236}">
                  <a16:creationId xmlns:a16="http://schemas.microsoft.com/office/drawing/2014/main" id="{240137BD-C1C5-4089-8AC0-2174C9B310AE}"/>
                </a:ext>
              </a:extLst>
            </xdr:cNvPr>
            <xdr:cNvGraphicFramePr/>
          </xdr:nvGraphicFramePr>
          <xdr:xfrm>
            <a:off x="0" y="0"/>
            <a:ext cx="0" cy="0"/>
          </xdr:xfrm>
          <a:graphic>
            <a:graphicData uri="http://schemas.microsoft.com/office/drawing/2010/slicer">
              <sle:slicer xmlns:sle="http://schemas.microsoft.com/office/drawing/2010/slicer" name="helper-weekday"/>
            </a:graphicData>
          </a:graphic>
        </xdr:graphicFrame>
      </mc:Choice>
      <mc:Fallback xmlns="">
        <xdr:sp macro="" textlink="">
          <xdr:nvSpPr>
            <xdr:cNvPr id="0" name=""/>
            <xdr:cNvSpPr>
              <a:spLocks noTextEdit="1"/>
            </xdr:cNvSpPr>
          </xdr:nvSpPr>
          <xdr:spPr>
            <a:xfrm>
              <a:off x="2463800" y="457200"/>
              <a:ext cx="2895600" cy="12255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8</xdr:col>
      <xdr:colOff>171450</xdr:colOff>
      <xdr:row>5</xdr:row>
      <xdr:rowOff>114300</xdr:rowOff>
    </xdr:from>
    <xdr:to>
      <xdr:col>10</xdr:col>
      <xdr:colOff>466725</xdr:colOff>
      <xdr:row>8</xdr:row>
      <xdr:rowOff>31750</xdr:rowOff>
    </xdr:to>
    <mc:AlternateContent xmlns:mc="http://schemas.openxmlformats.org/markup-compatibility/2006" xmlns:sle15="http://schemas.microsoft.com/office/drawing/2012/slicer">
      <mc:Choice Requires="sle15">
        <xdr:graphicFrame macro="">
          <xdr:nvGraphicFramePr>
            <xdr:cNvPr id="2" name="Year">
              <a:extLst>
                <a:ext uri="{FF2B5EF4-FFF2-40B4-BE49-F238E27FC236}">
                  <a16:creationId xmlns:a16="http://schemas.microsoft.com/office/drawing/2014/main" id="{C7FDD7A8-DA6E-4BAA-AF23-24C19EC935D1}"/>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5454650" y="1212850"/>
              <a:ext cx="1828800" cy="4699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127000</xdr:colOff>
      <xdr:row>1</xdr:row>
      <xdr:rowOff>95251</xdr:rowOff>
    </xdr:from>
    <xdr:to>
      <xdr:col>3</xdr:col>
      <xdr:colOff>450850</xdr:colOff>
      <xdr:row>8</xdr:row>
      <xdr:rowOff>31751</xdr:rowOff>
    </xdr:to>
    <mc:AlternateContent xmlns:mc="http://schemas.openxmlformats.org/markup-compatibility/2006" xmlns:sle15="http://schemas.microsoft.com/office/drawing/2012/slicer">
      <mc:Choice Requires="sle15">
        <xdr:graphicFrame macro="">
          <xdr:nvGraphicFramePr>
            <xdr:cNvPr id="3" name="Store ID Readable">
              <a:extLst>
                <a:ext uri="{FF2B5EF4-FFF2-40B4-BE49-F238E27FC236}">
                  <a16:creationId xmlns:a16="http://schemas.microsoft.com/office/drawing/2014/main" id="{DB35199B-30AD-4C82-B9BB-9AA1EA0EAAF9}"/>
                </a:ext>
              </a:extLst>
            </xdr:cNvPr>
            <xdr:cNvGraphicFramePr/>
          </xdr:nvGraphicFramePr>
          <xdr:xfrm>
            <a:off x="0" y="0"/>
            <a:ext cx="0" cy="0"/>
          </xdr:xfrm>
          <a:graphic>
            <a:graphicData uri="http://schemas.microsoft.com/office/drawing/2010/slicer">
              <sle:slicer xmlns:sle="http://schemas.microsoft.com/office/drawing/2010/slicer" name="Store ID Readable"/>
            </a:graphicData>
          </a:graphic>
        </xdr:graphicFrame>
      </mc:Choice>
      <mc:Fallback xmlns="">
        <xdr:sp macro="" textlink="">
          <xdr:nvSpPr>
            <xdr:cNvPr id="0" name=""/>
            <xdr:cNvSpPr>
              <a:spLocks noTextEdit="1"/>
            </xdr:cNvSpPr>
          </xdr:nvSpPr>
          <xdr:spPr>
            <a:xfrm>
              <a:off x="127000" y="457201"/>
              <a:ext cx="2216150" cy="122555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lper_month" xr10:uid="{22C18D77-D07F-4C35-A5C9-222466135E3E}" sourceName="Month">
  <extLst>
    <x:ext xmlns:x15="http://schemas.microsoft.com/office/spreadsheetml/2010/11/main" uri="{2F2917AC-EB37-4324-AD4E-5DD8C200BD13}">
      <x15:tableSlicerCache tableId="1" column="1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elper_weekday" xr10:uid="{B4929815-B8FF-42BB-83C1-49CE3008B2B1}" sourceName="Weekday">
  <extLst>
    <x:ext xmlns:x15="http://schemas.microsoft.com/office/spreadsheetml/2010/11/main" uri="{2F2917AC-EB37-4324-AD4E-5DD8C200BD13}">
      <x15:tableSlicerCache tableId="1" column="1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6333A414-F05A-4AC8-B25F-ADFCC22F70B4}" sourceName="Year">
  <extLst>
    <x:ext xmlns:x15="http://schemas.microsoft.com/office/spreadsheetml/2010/11/main" uri="{2F2917AC-EB37-4324-AD4E-5DD8C200BD13}">
      <x15:tableSlicerCache tableId="1" column="14"/>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_ID_Readable" xr10:uid="{0DFF9A8B-997C-4539-A254-0181C949E95F}" sourceName="Store ID Readable">
  <extLst>
    <x:ext xmlns:x15="http://schemas.microsoft.com/office/spreadsheetml/2010/11/main" uri="{2F2917AC-EB37-4324-AD4E-5DD8C200BD13}">
      <x15:tableSlicerCache tableId="1" column="15"/>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helper-month" xr10:uid="{C6C0E2D5-51B4-4BB7-815A-A34B1F374AFB}" cache="Slicer_helper_month" caption="Month" columnCount="3" rowHeight="241300"/>
  <slicer name="helper-weekday" xr10:uid="{756CBE67-70C5-44C3-A717-C2D832995F1E}" cache="Slicer_helper_weekday" caption="Weekday" columnCount="3" rowHeight="241300"/>
  <slicer name="Year" xr10:uid="{37DE2488-DFC7-4170-91B4-93EE9E58D72B}" cache="Slicer_Year" caption="Year" columnCount="2" showCaption="0" rowHeight="241300"/>
  <slicer name="Store ID Readable" xr10:uid="{2F710FE5-1F25-411E-AF58-4840EA4F6002}" cache="Slicer_Store_ID_Readable" caption="Store" columnCount="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A63F016-DAC6-41FC-8706-D5FEAF845563}" name="Table1" displayName="Table1" ref="A10:O40">
  <autoFilter ref="A10:O40" xr:uid="{0470FFA6-0B18-4D9C-8EC7-6FE5B892D7B6}"/>
  <tableColumns count="15">
    <tableColumn id="1" xr3:uid="{6F71425E-62AE-413B-85B2-7A5144AA79C9}" name="ID" totalsRowLabel="Total"/>
    <tableColumn id="2" xr3:uid="{26571F2F-0D04-45DD-83E9-BD8C7FD8D99B}" name="Basket ID"/>
    <tableColumn id="3" xr3:uid="{CF9F3EB1-AAE2-4498-9AC5-9D9C0AEBDD4D}" name="Item ID"/>
    <tableColumn id="4" xr3:uid="{6647C555-E27F-4F82-B1BD-DDA73B8C9BBD}" name="Category"/>
    <tableColumn id="5" xr3:uid="{55F36E2F-EEAA-4DEB-89F6-7489AE0D29A2}" name="Qty"/>
    <tableColumn id="6" xr3:uid="{6280892E-7DD3-4D72-8D52-1BFC18A91856}" name="Price" dataCellStyle="Currency"/>
    <tableColumn id="7" xr3:uid="{730363A3-0B14-4E36-876E-1F3CD0FFE3F8}" name="Discount %" dataDxfId="7" dataCellStyle="Percent"/>
    <tableColumn id="8" xr3:uid="{296D6D44-1599-4362-9F8D-2901D44ACDD1}" name="Tax %" dataDxfId="6" dataCellStyle="Percent"/>
    <tableColumn id="9" xr3:uid="{60B8B708-DD7B-43D3-8B94-603078EFC298}" name="Total" totalsRowFunction="sum" totalsRowDxfId="5" dataCellStyle="Currency" totalsRowCellStyle="Currency"/>
    <tableColumn id="10" xr3:uid="{D1202E64-4E56-4450-93A0-F8A923C26DC5}" name="DateTime" dataDxfId="4"/>
    <tableColumn id="11" xr3:uid="{ED520059-8754-4BBE-BD46-3B5B5DD1439F}" name="Store ID"/>
    <tableColumn id="12" xr3:uid="{0EFB9528-6A93-4310-9842-D2E550D4A2D4}" name="Month" dataDxfId="3">
      <calculatedColumnFormula>TEXT(Table1[[#This Row],[DateTime]],"mmmm")</calculatedColumnFormula>
    </tableColumn>
    <tableColumn id="13" xr3:uid="{A0EA3D73-2EBE-4C78-AD56-6CFE3530D32D}" name="Weekday" totalsRowFunction="count" dataDxfId="2">
      <calculatedColumnFormula>TEXT(Table1[[#This Row],[DateTime]],"dddd")</calculatedColumnFormula>
    </tableColumn>
    <tableColumn id="14" xr3:uid="{C0195E36-8A70-4273-83B3-2AEAF6E36E89}" name="Year" dataDxfId="1">
      <calculatedColumnFormula>YEAR(Table1[[#This Row],[DateTime]])</calculatedColumnFormula>
    </tableColumn>
    <tableColumn id="15" xr3:uid="{788EB466-2568-42E5-A2E6-FEAD4062C214}" name="Store ID Readable" dataDxfId="0">
      <calculatedColumnFormula>VLOOKUP(Table1[[#This Row],[Store ID]],Table2[],2,FALSE)</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D777F78-3DA9-4F00-8C51-638F9C128152}" name="Table2" displayName="Table2" ref="Q10:R14" totalsRowShown="0">
  <autoFilter ref="Q10:R14" xr:uid="{1F18B0F0-AFEA-40AE-A32E-04F2D257864D}"/>
  <tableColumns count="2">
    <tableColumn id="1" xr3:uid="{89A1D954-2B8D-472B-AEC4-09A50F92C639}" name="Store ID"/>
    <tableColumn id="2" xr3:uid="{184051A2-A328-45D1-BDAE-12FC370A2452}" name="Nam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2.bin"/><Relationship Id="rId5" Type="http://schemas.microsoft.com/office/2007/relationships/slicer" Target="../slicers/slicer1.xml"/><Relationship Id="rId4"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34BB1-7674-490C-84EF-829A1EFF2620}">
  <dimension ref="A1:K31"/>
  <sheetViews>
    <sheetView workbookViewId="0">
      <selection activeCell="I1" sqref="I1"/>
    </sheetView>
  </sheetViews>
  <sheetFormatPr defaultRowHeight="15" x14ac:dyDescent="0.25"/>
  <cols>
    <col min="4" max="4" width="9.140625" bestFit="1" customWidth="1"/>
    <col min="7" max="7" width="11.140625" customWidth="1"/>
  </cols>
  <sheetData>
    <row r="1" spans="1:11" x14ac:dyDescent="0.25">
      <c r="A1" t="s">
        <v>11</v>
      </c>
      <c r="B1" t="s">
        <v>12</v>
      </c>
      <c r="C1" t="s">
        <v>13</v>
      </c>
      <c r="D1" t="s">
        <v>14</v>
      </c>
      <c r="E1" t="s">
        <v>15</v>
      </c>
      <c r="F1" t="s">
        <v>16</v>
      </c>
      <c r="G1" t="s">
        <v>17</v>
      </c>
      <c r="H1" t="s">
        <v>18</v>
      </c>
      <c r="I1" t="s">
        <v>10</v>
      </c>
      <c r="J1" t="s">
        <v>19</v>
      </c>
      <c r="K1" t="s">
        <v>20</v>
      </c>
    </row>
    <row r="2" spans="1:11" x14ac:dyDescent="0.25">
      <c r="A2">
        <v>1</v>
      </c>
      <c r="B2">
        <v>1</v>
      </c>
      <c r="C2" t="s">
        <v>0</v>
      </c>
      <c r="D2" t="s">
        <v>1</v>
      </c>
      <c r="E2">
        <v>2</v>
      </c>
      <c r="F2">
        <v>2.4</v>
      </c>
      <c r="G2">
        <v>0.1</v>
      </c>
      <c r="H2">
        <v>0.11</v>
      </c>
      <c r="I2">
        <v>4.8</v>
      </c>
      <c r="J2">
        <v>44213.737581018519</v>
      </c>
      <c r="K2">
        <v>2</v>
      </c>
    </row>
    <row r="3" spans="1:11" x14ac:dyDescent="0.25">
      <c r="A3">
        <v>2</v>
      </c>
      <c r="B3">
        <v>1</v>
      </c>
      <c r="C3" t="s">
        <v>2</v>
      </c>
      <c r="D3" t="s">
        <v>3</v>
      </c>
      <c r="E3">
        <v>3</v>
      </c>
      <c r="F3">
        <v>4.16</v>
      </c>
      <c r="G3">
        <v>2.5000000000000001E-2</v>
      </c>
      <c r="H3">
        <v>0.11</v>
      </c>
      <c r="I3">
        <v>13.51</v>
      </c>
      <c r="J3">
        <v>44213.737581018519</v>
      </c>
      <c r="K3">
        <v>2</v>
      </c>
    </row>
    <row r="4" spans="1:11" x14ac:dyDescent="0.25">
      <c r="A4">
        <v>3</v>
      </c>
      <c r="B4">
        <v>1</v>
      </c>
      <c r="C4" t="s">
        <v>4</v>
      </c>
      <c r="D4" t="s">
        <v>5</v>
      </c>
      <c r="E4">
        <v>3</v>
      </c>
      <c r="F4">
        <v>6.8100000000000005</v>
      </c>
      <c r="G4">
        <v>0</v>
      </c>
      <c r="H4">
        <v>0.11</v>
      </c>
      <c r="I4">
        <v>22.68</v>
      </c>
      <c r="J4">
        <v>44213.737581018519</v>
      </c>
      <c r="K4">
        <v>2</v>
      </c>
    </row>
    <row r="5" spans="1:11" x14ac:dyDescent="0.25">
      <c r="A5">
        <v>4</v>
      </c>
      <c r="B5">
        <v>2</v>
      </c>
      <c r="C5" t="s">
        <v>6</v>
      </c>
      <c r="D5" t="s">
        <v>3</v>
      </c>
      <c r="E5">
        <v>3</v>
      </c>
      <c r="F5">
        <v>8.48</v>
      </c>
      <c r="G5">
        <v>0</v>
      </c>
      <c r="H5">
        <v>0.11</v>
      </c>
      <c r="I5">
        <v>28.24</v>
      </c>
      <c r="J5">
        <v>44213.743368055555</v>
      </c>
      <c r="K5">
        <v>3</v>
      </c>
    </row>
    <row r="6" spans="1:11" x14ac:dyDescent="0.25">
      <c r="A6">
        <v>5</v>
      </c>
      <c r="B6">
        <v>3</v>
      </c>
      <c r="C6" t="s">
        <v>2</v>
      </c>
      <c r="D6" t="s">
        <v>3</v>
      </c>
      <c r="E6">
        <v>1</v>
      </c>
      <c r="F6">
        <v>4.16</v>
      </c>
      <c r="G6">
        <v>0</v>
      </c>
      <c r="H6">
        <v>0.11</v>
      </c>
      <c r="I6">
        <v>4.62</v>
      </c>
      <c r="J6">
        <v>44213.754016203704</v>
      </c>
      <c r="K6">
        <v>1</v>
      </c>
    </row>
    <row r="7" spans="1:11" x14ac:dyDescent="0.25">
      <c r="A7">
        <v>6</v>
      </c>
      <c r="B7">
        <v>4</v>
      </c>
      <c r="C7" t="s">
        <v>7</v>
      </c>
      <c r="D7" t="s">
        <v>5</v>
      </c>
      <c r="E7">
        <v>3</v>
      </c>
      <c r="F7">
        <v>12.34</v>
      </c>
      <c r="G7">
        <v>0</v>
      </c>
      <c r="H7">
        <v>0.11</v>
      </c>
      <c r="I7">
        <v>41.09</v>
      </c>
      <c r="J7">
        <v>44213.760439814818</v>
      </c>
      <c r="K7">
        <v>3</v>
      </c>
    </row>
    <row r="8" spans="1:11" x14ac:dyDescent="0.25">
      <c r="A8">
        <v>7</v>
      </c>
      <c r="B8">
        <v>4</v>
      </c>
      <c r="C8" t="s">
        <v>8</v>
      </c>
      <c r="D8" t="s">
        <v>5</v>
      </c>
      <c r="E8">
        <v>3</v>
      </c>
      <c r="F8">
        <v>14.18</v>
      </c>
      <c r="G8">
        <v>0</v>
      </c>
      <c r="H8">
        <v>0.11</v>
      </c>
      <c r="I8">
        <v>47.22</v>
      </c>
      <c r="J8">
        <v>44213.760439814818</v>
      </c>
      <c r="K8">
        <v>3</v>
      </c>
    </row>
    <row r="9" spans="1:11" x14ac:dyDescent="0.25">
      <c r="A9">
        <v>8</v>
      </c>
      <c r="B9">
        <v>5</v>
      </c>
      <c r="C9" t="s">
        <v>2</v>
      </c>
      <c r="D9" t="s">
        <v>3</v>
      </c>
      <c r="E9">
        <v>1</v>
      </c>
      <c r="F9">
        <v>4.16</v>
      </c>
      <c r="G9">
        <v>2.5000000000000001E-2</v>
      </c>
      <c r="H9">
        <v>0.11</v>
      </c>
      <c r="I9">
        <v>4.5</v>
      </c>
      <c r="J9">
        <v>44213.764965277776</v>
      </c>
      <c r="K9">
        <v>4</v>
      </c>
    </row>
    <row r="10" spans="1:11" x14ac:dyDescent="0.25">
      <c r="A10">
        <v>9</v>
      </c>
      <c r="B10">
        <v>5</v>
      </c>
      <c r="C10" t="s">
        <v>9</v>
      </c>
      <c r="D10" t="s">
        <v>3</v>
      </c>
      <c r="E10">
        <v>2</v>
      </c>
      <c r="F10">
        <v>18.510000000000002</v>
      </c>
      <c r="G10">
        <v>2.5000000000000001E-2</v>
      </c>
      <c r="H10">
        <v>0.11</v>
      </c>
      <c r="I10">
        <v>40.06</v>
      </c>
      <c r="J10">
        <v>44214</v>
      </c>
      <c r="K10">
        <v>4</v>
      </c>
    </row>
    <row r="11" spans="1:11" x14ac:dyDescent="0.25">
      <c r="A11">
        <v>10</v>
      </c>
      <c r="B11">
        <v>5</v>
      </c>
      <c r="C11" t="s">
        <v>0</v>
      </c>
      <c r="D11" t="s">
        <v>1</v>
      </c>
      <c r="E11">
        <v>1</v>
      </c>
      <c r="F11">
        <v>2.4</v>
      </c>
      <c r="G11">
        <v>2.5000000000000001E-2</v>
      </c>
      <c r="H11">
        <v>0.11</v>
      </c>
      <c r="I11">
        <v>2.6</v>
      </c>
      <c r="J11">
        <v>44244.764965277776</v>
      </c>
      <c r="K11">
        <v>4</v>
      </c>
    </row>
    <row r="12" spans="1:11" x14ac:dyDescent="0.25">
      <c r="A12">
        <v>11</v>
      </c>
      <c r="B12">
        <v>6</v>
      </c>
      <c r="C12" t="s">
        <v>0</v>
      </c>
      <c r="D12" t="s">
        <v>1</v>
      </c>
      <c r="E12">
        <v>2</v>
      </c>
      <c r="F12">
        <v>2.4</v>
      </c>
      <c r="G12">
        <v>0.1</v>
      </c>
      <c r="H12">
        <v>0.11</v>
      </c>
      <c r="I12">
        <v>4.8</v>
      </c>
      <c r="J12">
        <v>44245</v>
      </c>
      <c r="K12">
        <v>2</v>
      </c>
    </row>
    <row r="13" spans="1:11" x14ac:dyDescent="0.25">
      <c r="A13">
        <v>12</v>
      </c>
      <c r="B13">
        <v>7</v>
      </c>
      <c r="C13" t="s">
        <v>2</v>
      </c>
      <c r="D13" t="s">
        <v>3</v>
      </c>
      <c r="E13">
        <v>3</v>
      </c>
      <c r="F13">
        <v>4.16</v>
      </c>
      <c r="G13">
        <v>2.5000000000000001E-2</v>
      </c>
      <c r="H13">
        <v>0.11</v>
      </c>
      <c r="I13">
        <v>13.51</v>
      </c>
      <c r="J13">
        <v>44246</v>
      </c>
      <c r="K13">
        <v>2</v>
      </c>
    </row>
    <row r="14" spans="1:11" x14ac:dyDescent="0.25">
      <c r="A14">
        <v>13</v>
      </c>
      <c r="B14">
        <v>8</v>
      </c>
      <c r="C14" t="s">
        <v>4</v>
      </c>
      <c r="D14" t="s">
        <v>5</v>
      </c>
      <c r="E14">
        <v>3</v>
      </c>
      <c r="F14">
        <v>6.8100000000000005</v>
      </c>
      <c r="G14">
        <v>0</v>
      </c>
      <c r="H14">
        <v>0.11</v>
      </c>
      <c r="I14">
        <v>22.68</v>
      </c>
      <c r="J14">
        <v>44247</v>
      </c>
      <c r="K14">
        <v>2</v>
      </c>
    </row>
    <row r="15" spans="1:11" x14ac:dyDescent="0.25">
      <c r="A15">
        <v>14</v>
      </c>
      <c r="B15">
        <v>9</v>
      </c>
      <c r="C15" t="s">
        <v>6</v>
      </c>
      <c r="D15" t="s">
        <v>3</v>
      </c>
      <c r="E15">
        <v>3</v>
      </c>
      <c r="F15">
        <v>8.48</v>
      </c>
      <c r="G15">
        <v>0</v>
      </c>
      <c r="H15">
        <v>0.11</v>
      </c>
      <c r="I15">
        <v>28.24</v>
      </c>
      <c r="J15">
        <v>44248</v>
      </c>
      <c r="K15">
        <v>3</v>
      </c>
    </row>
    <row r="16" spans="1:11" x14ac:dyDescent="0.25">
      <c r="A16">
        <v>15</v>
      </c>
      <c r="B16">
        <v>10</v>
      </c>
      <c r="C16" t="s">
        <v>2</v>
      </c>
      <c r="D16" t="s">
        <v>3</v>
      </c>
      <c r="E16">
        <v>1</v>
      </c>
      <c r="F16">
        <v>4.16</v>
      </c>
      <c r="G16">
        <v>0</v>
      </c>
      <c r="H16">
        <v>0.11</v>
      </c>
      <c r="I16">
        <v>4.62</v>
      </c>
      <c r="J16">
        <v>44249</v>
      </c>
      <c r="K16">
        <v>1</v>
      </c>
    </row>
    <row r="17" spans="1:11" x14ac:dyDescent="0.25">
      <c r="A17">
        <v>16</v>
      </c>
      <c r="B17">
        <v>11</v>
      </c>
      <c r="C17" t="s">
        <v>7</v>
      </c>
      <c r="D17" t="s">
        <v>5</v>
      </c>
      <c r="E17">
        <v>3</v>
      </c>
      <c r="F17">
        <v>12.34</v>
      </c>
      <c r="G17">
        <v>0</v>
      </c>
      <c r="H17">
        <v>0.11</v>
      </c>
      <c r="I17">
        <v>41.09</v>
      </c>
      <c r="J17">
        <v>44250</v>
      </c>
      <c r="K17">
        <v>3</v>
      </c>
    </row>
    <row r="18" spans="1:11" x14ac:dyDescent="0.25">
      <c r="A18">
        <v>17</v>
      </c>
      <c r="B18">
        <v>12</v>
      </c>
      <c r="C18" t="s">
        <v>8</v>
      </c>
      <c r="D18" t="s">
        <v>5</v>
      </c>
      <c r="E18">
        <v>3</v>
      </c>
      <c r="F18">
        <v>14.18</v>
      </c>
      <c r="G18">
        <v>0</v>
      </c>
      <c r="H18">
        <v>0.11</v>
      </c>
      <c r="I18">
        <v>47.22</v>
      </c>
      <c r="J18">
        <v>44251</v>
      </c>
      <c r="K18">
        <v>3</v>
      </c>
    </row>
    <row r="19" spans="1:11" x14ac:dyDescent="0.25">
      <c r="A19">
        <v>18</v>
      </c>
      <c r="B19">
        <v>13</v>
      </c>
      <c r="C19" t="s">
        <v>2</v>
      </c>
      <c r="D19" t="s">
        <v>3</v>
      </c>
      <c r="E19">
        <v>1</v>
      </c>
      <c r="F19">
        <v>4.16</v>
      </c>
      <c r="G19">
        <v>2.5000000000000001E-2</v>
      </c>
      <c r="H19">
        <v>0.11</v>
      </c>
      <c r="I19">
        <v>4.5</v>
      </c>
      <c r="J19">
        <v>44252</v>
      </c>
      <c r="K19">
        <v>4</v>
      </c>
    </row>
    <row r="20" spans="1:11" x14ac:dyDescent="0.25">
      <c r="A20">
        <v>19</v>
      </c>
      <c r="B20">
        <v>14</v>
      </c>
      <c r="C20" t="s">
        <v>9</v>
      </c>
      <c r="D20" t="s">
        <v>3</v>
      </c>
      <c r="E20">
        <v>2</v>
      </c>
      <c r="F20">
        <v>18.510000000000002</v>
      </c>
      <c r="G20">
        <v>2.5000000000000001E-2</v>
      </c>
      <c r="H20">
        <v>0.11</v>
      </c>
      <c r="I20">
        <v>40.06</v>
      </c>
      <c r="J20">
        <v>44253</v>
      </c>
      <c r="K20">
        <v>4</v>
      </c>
    </row>
    <row r="21" spans="1:11" x14ac:dyDescent="0.25">
      <c r="A21">
        <v>20</v>
      </c>
      <c r="B21">
        <v>15</v>
      </c>
      <c r="C21" t="s">
        <v>0</v>
      </c>
      <c r="D21" t="s">
        <v>1</v>
      </c>
      <c r="E21">
        <v>1</v>
      </c>
      <c r="F21">
        <v>2.4</v>
      </c>
      <c r="G21">
        <v>2.5000000000000001E-2</v>
      </c>
      <c r="H21">
        <v>0.11</v>
      </c>
      <c r="I21">
        <v>2.6</v>
      </c>
      <c r="J21">
        <v>44254</v>
      </c>
      <c r="K21">
        <v>4</v>
      </c>
    </row>
    <row r="22" spans="1:11" x14ac:dyDescent="0.25">
      <c r="A22">
        <v>21</v>
      </c>
      <c r="B22">
        <v>16</v>
      </c>
      <c r="C22" t="s">
        <v>0</v>
      </c>
      <c r="D22" t="s">
        <v>1</v>
      </c>
      <c r="E22">
        <v>2</v>
      </c>
      <c r="F22">
        <v>2.4</v>
      </c>
      <c r="G22">
        <v>0.1</v>
      </c>
      <c r="H22">
        <v>0.11</v>
      </c>
      <c r="I22">
        <v>4.8</v>
      </c>
      <c r="J22">
        <v>43908</v>
      </c>
      <c r="K22">
        <v>2</v>
      </c>
    </row>
    <row r="23" spans="1:11" x14ac:dyDescent="0.25">
      <c r="A23">
        <v>22</v>
      </c>
      <c r="B23">
        <v>17</v>
      </c>
      <c r="C23" t="s">
        <v>2</v>
      </c>
      <c r="D23" t="s">
        <v>3</v>
      </c>
      <c r="E23">
        <v>3</v>
      </c>
      <c r="F23">
        <v>4.16</v>
      </c>
      <c r="G23">
        <v>2.5000000000000001E-2</v>
      </c>
      <c r="H23">
        <v>0.11</v>
      </c>
      <c r="I23">
        <v>13.51</v>
      </c>
      <c r="J23">
        <v>43909</v>
      </c>
      <c r="K23">
        <v>2</v>
      </c>
    </row>
    <row r="24" spans="1:11" x14ac:dyDescent="0.25">
      <c r="A24">
        <v>23</v>
      </c>
      <c r="B24">
        <v>18</v>
      </c>
      <c r="C24" t="s">
        <v>4</v>
      </c>
      <c r="D24" t="s">
        <v>5</v>
      </c>
      <c r="E24">
        <v>3</v>
      </c>
      <c r="F24">
        <v>6.8100000000000005</v>
      </c>
      <c r="G24">
        <v>0</v>
      </c>
      <c r="H24">
        <v>0.11</v>
      </c>
      <c r="I24">
        <v>22.68</v>
      </c>
      <c r="J24">
        <v>43910</v>
      </c>
      <c r="K24">
        <v>2</v>
      </c>
    </row>
    <row r="25" spans="1:11" x14ac:dyDescent="0.25">
      <c r="A25">
        <v>24</v>
      </c>
      <c r="B25">
        <v>19</v>
      </c>
      <c r="C25" t="s">
        <v>6</v>
      </c>
      <c r="D25" t="s">
        <v>3</v>
      </c>
      <c r="E25">
        <v>3</v>
      </c>
      <c r="F25">
        <v>8.48</v>
      </c>
      <c r="G25">
        <v>0</v>
      </c>
      <c r="H25">
        <v>0.11</v>
      </c>
      <c r="I25">
        <v>28.24</v>
      </c>
      <c r="J25">
        <v>43911</v>
      </c>
      <c r="K25">
        <v>3</v>
      </c>
    </row>
    <row r="26" spans="1:11" x14ac:dyDescent="0.25">
      <c r="A26">
        <v>25</v>
      </c>
      <c r="B26">
        <v>20</v>
      </c>
      <c r="C26" t="s">
        <v>2</v>
      </c>
      <c r="D26" t="s">
        <v>3</v>
      </c>
      <c r="E26">
        <v>1</v>
      </c>
      <c r="F26">
        <v>4.16</v>
      </c>
      <c r="G26">
        <v>0</v>
      </c>
      <c r="H26">
        <v>0.11</v>
      </c>
      <c r="I26">
        <v>4.62</v>
      </c>
      <c r="J26">
        <v>43912</v>
      </c>
      <c r="K26">
        <v>1</v>
      </c>
    </row>
    <row r="27" spans="1:11" x14ac:dyDescent="0.25">
      <c r="A27">
        <v>26</v>
      </c>
      <c r="B27">
        <v>21</v>
      </c>
      <c r="C27" t="s">
        <v>7</v>
      </c>
      <c r="D27" t="s">
        <v>5</v>
      </c>
      <c r="E27">
        <v>3</v>
      </c>
      <c r="F27">
        <v>12.34</v>
      </c>
      <c r="G27">
        <v>0</v>
      </c>
      <c r="H27">
        <v>0.11</v>
      </c>
      <c r="I27">
        <v>41.09</v>
      </c>
      <c r="J27">
        <v>43913</v>
      </c>
      <c r="K27">
        <v>3</v>
      </c>
    </row>
    <row r="28" spans="1:11" x14ac:dyDescent="0.25">
      <c r="A28">
        <v>27</v>
      </c>
      <c r="B28">
        <v>22</v>
      </c>
      <c r="C28" t="s">
        <v>8</v>
      </c>
      <c r="D28" t="s">
        <v>5</v>
      </c>
      <c r="E28">
        <v>3</v>
      </c>
      <c r="F28">
        <v>14.18</v>
      </c>
      <c r="G28">
        <v>0</v>
      </c>
      <c r="H28">
        <v>0.11</v>
      </c>
      <c r="I28">
        <v>47.22</v>
      </c>
      <c r="J28">
        <v>43914</v>
      </c>
      <c r="K28">
        <v>3</v>
      </c>
    </row>
    <row r="29" spans="1:11" x14ac:dyDescent="0.25">
      <c r="A29">
        <v>28</v>
      </c>
      <c r="B29">
        <v>23</v>
      </c>
      <c r="C29" t="s">
        <v>2</v>
      </c>
      <c r="D29" t="s">
        <v>3</v>
      </c>
      <c r="E29">
        <v>1</v>
      </c>
      <c r="F29">
        <v>4.16</v>
      </c>
      <c r="G29">
        <v>2.5000000000000001E-2</v>
      </c>
      <c r="H29">
        <v>0.11</v>
      </c>
      <c r="I29">
        <v>4.5</v>
      </c>
      <c r="J29">
        <v>43915</v>
      </c>
      <c r="K29">
        <v>4</v>
      </c>
    </row>
    <row r="30" spans="1:11" x14ac:dyDescent="0.25">
      <c r="A30">
        <v>29</v>
      </c>
      <c r="B30">
        <v>24</v>
      </c>
      <c r="C30" t="s">
        <v>9</v>
      </c>
      <c r="D30" t="s">
        <v>3</v>
      </c>
      <c r="E30">
        <v>2</v>
      </c>
      <c r="F30">
        <v>18.510000000000002</v>
      </c>
      <c r="G30">
        <v>2.5000000000000001E-2</v>
      </c>
      <c r="H30">
        <v>0.11</v>
      </c>
      <c r="I30">
        <v>40.06</v>
      </c>
      <c r="J30">
        <v>43916</v>
      </c>
      <c r="K30">
        <v>4</v>
      </c>
    </row>
    <row r="31" spans="1:11" x14ac:dyDescent="0.25">
      <c r="A31">
        <v>30</v>
      </c>
      <c r="B31">
        <v>25</v>
      </c>
      <c r="C31" t="s">
        <v>0</v>
      </c>
      <c r="D31" t="s">
        <v>1</v>
      </c>
      <c r="E31">
        <v>1</v>
      </c>
      <c r="F31">
        <v>2.4</v>
      </c>
      <c r="G31">
        <v>2.5000000000000001E-2</v>
      </c>
      <c r="H31">
        <v>0.11</v>
      </c>
      <c r="I31">
        <v>2.6</v>
      </c>
      <c r="J31">
        <v>43917</v>
      </c>
      <c r="K31">
        <v>4</v>
      </c>
    </row>
  </sheetData>
  <pageMargins left="0.7" right="0.7" top="0.75" bottom="0.75" header="0.3" footer="0.3"/>
  <pageSetup paperSize="9" orientation="portrait" horizontalDpi="4294967293"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5A34F-3724-4A80-9CD9-DB89786CB8C8}">
  <dimension ref="A1:R40"/>
  <sheetViews>
    <sheetView showGridLines="0" workbookViewId="0">
      <selection activeCell="S11" sqref="S11"/>
    </sheetView>
  </sheetViews>
  <sheetFormatPr defaultRowHeight="15" x14ac:dyDescent="0.25"/>
  <cols>
    <col min="1" max="1" width="6.85546875" customWidth="1"/>
    <col min="2" max="2" width="11" bestFit="1" customWidth="1"/>
    <col min="3" max="3" width="9.28515625" bestFit="1" customWidth="1"/>
    <col min="4" max="4" width="10.5703125" bestFit="1" customWidth="1"/>
    <col min="7" max="7" width="12.5703125" customWidth="1"/>
    <col min="8" max="8" width="7.85546875" bestFit="1" customWidth="1"/>
    <col min="9" max="9" width="10.42578125" customWidth="1"/>
    <col min="10" max="10" width="11.140625" bestFit="1" customWidth="1"/>
    <col min="11" max="11" width="9.85546875" bestFit="1" customWidth="1"/>
    <col min="12" max="12" width="14.7109375" hidden="1" customWidth="1"/>
    <col min="13" max="13" width="16.5703125" hidden="1" customWidth="1"/>
    <col min="14" max="14" width="8.7109375" hidden="1" customWidth="1"/>
    <col min="15" max="15" width="14" hidden="1" customWidth="1"/>
    <col min="16" max="16" width="8.7109375" hidden="1" customWidth="1"/>
    <col min="17" max="18" width="10" hidden="1" customWidth="1"/>
    <col min="20" max="20" width="11.140625" customWidth="1"/>
  </cols>
  <sheetData>
    <row r="1" spans="1:18" ht="28.5" x14ac:dyDescent="0.45">
      <c r="A1" s="5" t="s">
        <v>30</v>
      </c>
    </row>
    <row r="10" spans="1:18" x14ac:dyDescent="0.25">
      <c r="A10" t="s">
        <v>11</v>
      </c>
      <c r="B10" t="s">
        <v>12</v>
      </c>
      <c r="C10" t="s">
        <v>13</v>
      </c>
      <c r="D10" t="s">
        <v>14</v>
      </c>
      <c r="E10" t="s">
        <v>15</v>
      </c>
      <c r="F10" t="s">
        <v>16</v>
      </c>
      <c r="G10" t="s">
        <v>17</v>
      </c>
      <c r="H10" t="s">
        <v>18</v>
      </c>
      <c r="I10" t="s">
        <v>10</v>
      </c>
      <c r="J10" t="s">
        <v>19</v>
      </c>
      <c r="K10" t="s">
        <v>20</v>
      </c>
      <c r="L10" t="s">
        <v>21</v>
      </c>
      <c r="M10" t="s">
        <v>22</v>
      </c>
      <c r="N10" t="s">
        <v>23</v>
      </c>
      <c r="O10" t="s">
        <v>24</v>
      </c>
      <c r="Q10" t="s">
        <v>20</v>
      </c>
      <c r="R10" t="s">
        <v>25</v>
      </c>
    </row>
    <row r="11" spans="1:18" x14ac:dyDescent="0.25">
      <c r="A11">
        <v>1</v>
      </c>
      <c r="B11">
        <v>1</v>
      </c>
      <c r="C11" t="s">
        <v>0</v>
      </c>
      <c r="D11" t="s">
        <v>1</v>
      </c>
      <c r="E11">
        <v>2</v>
      </c>
      <c r="F11" s="4">
        <v>2.4</v>
      </c>
      <c r="G11" s="7">
        <v>0.1</v>
      </c>
      <c r="H11" s="7">
        <v>0.11</v>
      </c>
      <c r="I11" s="4">
        <v>4.8</v>
      </c>
      <c r="J11" s="1">
        <v>44213.737581018519</v>
      </c>
      <c r="K11">
        <v>2</v>
      </c>
      <c r="L11" t="str">
        <f>TEXT(Table1[[#This Row],[DateTime]],"mmmm")</f>
        <v>January</v>
      </c>
      <c r="M11" t="str">
        <f>TEXT(Table1[[#This Row],[DateTime]],"dddd")</f>
        <v>Sunday</v>
      </c>
      <c r="N11">
        <f>YEAR(Table1[[#This Row],[DateTime]])</f>
        <v>2021</v>
      </c>
      <c r="O11" s="2" t="str">
        <f>VLOOKUP(Table1[[#This Row],[Store ID]],Table2[],2,FALSE)</f>
        <v>Midtown</v>
      </c>
      <c r="Q11">
        <v>1</v>
      </c>
      <c r="R11" t="s">
        <v>26</v>
      </c>
    </row>
    <row r="12" spans="1:18" x14ac:dyDescent="0.25">
      <c r="A12">
        <v>2</v>
      </c>
      <c r="B12">
        <v>1</v>
      </c>
      <c r="C12" t="s">
        <v>2</v>
      </c>
      <c r="D12" t="s">
        <v>3</v>
      </c>
      <c r="E12">
        <v>3</v>
      </c>
      <c r="F12" s="4">
        <v>4.16</v>
      </c>
      <c r="G12" s="7">
        <v>2.5000000000000001E-2</v>
      </c>
      <c r="H12" s="7">
        <v>0.11</v>
      </c>
      <c r="I12" s="4">
        <v>13.51</v>
      </c>
      <c r="J12" s="1">
        <v>44213.737581018519</v>
      </c>
      <c r="K12">
        <v>2</v>
      </c>
      <c r="L12" t="str">
        <f>TEXT(Table1[[#This Row],[DateTime]],"mmmm")</f>
        <v>January</v>
      </c>
      <c r="M12" t="str">
        <f>TEXT(Table1[[#This Row],[DateTime]],"dddd")</f>
        <v>Sunday</v>
      </c>
      <c r="N12">
        <f>YEAR(Table1[[#This Row],[DateTime]])</f>
        <v>2021</v>
      </c>
      <c r="O12" s="2" t="str">
        <f>VLOOKUP(Table1[[#This Row],[Store ID]],Table2[],2,FALSE)</f>
        <v>Midtown</v>
      </c>
      <c r="Q12">
        <v>2</v>
      </c>
      <c r="R12" t="s">
        <v>27</v>
      </c>
    </row>
    <row r="13" spans="1:18" x14ac:dyDescent="0.25">
      <c r="A13">
        <v>3</v>
      </c>
      <c r="B13">
        <v>1</v>
      </c>
      <c r="C13" t="s">
        <v>4</v>
      </c>
      <c r="D13" t="s">
        <v>5</v>
      </c>
      <c r="E13">
        <v>3</v>
      </c>
      <c r="F13" s="4">
        <v>6.8100000000000005</v>
      </c>
      <c r="G13" s="7">
        <v>0</v>
      </c>
      <c r="H13" s="7">
        <v>0.11</v>
      </c>
      <c r="I13" s="4">
        <v>22.68</v>
      </c>
      <c r="J13" s="1">
        <v>44213.737581018519</v>
      </c>
      <c r="K13">
        <v>2</v>
      </c>
      <c r="L13" t="str">
        <f>TEXT(Table1[[#This Row],[DateTime]],"mmmm")</f>
        <v>January</v>
      </c>
      <c r="M13" t="str">
        <f>TEXT(Table1[[#This Row],[DateTime]],"dddd")</f>
        <v>Sunday</v>
      </c>
      <c r="N13">
        <f>YEAR(Table1[[#This Row],[DateTime]])</f>
        <v>2021</v>
      </c>
      <c r="O13" s="2" t="str">
        <f>VLOOKUP(Table1[[#This Row],[Store ID]],Table2[],2,FALSE)</f>
        <v>Midtown</v>
      </c>
      <c r="Q13">
        <v>3</v>
      </c>
      <c r="R13" t="s">
        <v>28</v>
      </c>
    </row>
    <row r="14" spans="1:18" x14ac:dyDescent="0.25">
      <c r="A14">
        <v>4</v>
      </c>
      <c r="B14">
        <v>2</v>
      </c>
      <c r="C14" t="s">
        <v>6</v>
      </c>
      <c r="D14" t="s">
        <v>3</v>
      </c>
      <c r="E14">
        <v>3</v>
      </c>
      <c r="F14" s="4">
        <v>8.48</v>
      </c>
      <c r="G14" s="7">
        <v>0</v>
      </c>
      <c r="H14" s="7">
        <v>0.11</v>
      </c>
      <c r="I14" s="4">
        <v>28.24</v>
      </c>
      <c r="J14" s="1">
        <v>44213.743368055555</v>
      </c>
      <c r="K14">
        <v>3</v>
      </c>
      <c r="L14" t="str">
        <f>TEXT(Table1[[#This Row],[DateTime]],"mmmm")</f>
        <v>January</v>
      </c>
      <c r="M14" t="str">
        <f>TEXT(Table1[[#This Row],[DateTime]],"dddd")</f>
        <v>Sunday</v>
      </c>
      <c r="N14">
        <f>YEAR(Table1[[#This Row],[DateTime]])</f>
        <v>2021</v>
      </c>
      <c r="O14" s="2" t="str">
        <f>VLOOKUP(Table1[[#This Row],[Store ID]],Table2[],2,FALSE)</f>
        <v>Mountain</v>
      </c>
      <c r="Q14">
        <v>4</v>
      </c>
      <c r="R14" t="s">
        <v>29</v>
      </c>
    </row>
    <row r="15" spans="1:18" x14ac:dyDescent="0.25">
      <c r="A15">
        <v>5</v>
      </c>
      <c r="B15">
        <v>3</v>
      </c>
      <c r="C15" t="s">
        <v>2</v>
      </c>
      <c r="D15" t="s">
        <v>3</v>
      </c>
      <c r="E15">
        <v>1</v>
      </c>
      <c r="F15" s="4">
        <v>4.16</v>
      </c>
      <c r="G15" s="7">
        <v>0</v>
      </c>
      <c r="H15" s="7">
        <v>0.11</v>
      </c>
      <c r="I15" s="4">
        <v>4.62</v>
      </c>
      <c r="J15" s="1">
        <v>44213.754016203704</v>
      </c>
      <c r="K15">
        <v>1</v>
      </c>
      <c r="L15" t="str">
        <f>TEXT(Table1[[#This Row],[DateTime]],"mmmm")</f>
        <v>January</v>
      </c>
      <c r="M15" t="str">
        <f>TEXT(Table1[[#This Row],[DateTime]],"dddd")</f>
        <v>Sunday</v>
      </c>
      <c r="N15">
        <f>YEAR(Table1[[#This Row],[DateTime]])</f>
        <v>2021</v>
      </c>
      <c r="O15" s="2" t="str">
        <f>VLOOKUP(Table1[[#This Row],[Store ID]],Table2[],2,FALSE)</f>
        <v>Downtown</v>
      </c>
    </row>
    <row r="16" spans="1:18" x14ac:dyDescent="0.25">
      <c r="A16">
        <v>6</v>
      </c>
      <c r="B16">
        <v>4</v>
      </c>
      <c r="C16" t="s">
        <v>7</v>
      </c>
      <c r="D16" t="s">
        <v>5</v>
      </c>
      <c r="E16">
        <v>3</v>
      </c>
      <c r="F16" s="4">
        <v>12.34</v>
      </c>
      <c r="G16" s="7">
        <v>0</v>
      </c>
      <c r="H16" s="7">
        <v>0.11</v>
      </c>
      <c r="I16" s="4">
        <v>41.09</v>
      </c>
      <c r="J16" s="1">
        <v>44213.760439814818</v>
      </c>
      <c r="K16">
        <v>3</v>
      </c>
      <c r="L16" t="str">
        <f>TEXT(Table1[[#This Row],[DateTime]],"mmmm")</f>
        <v>January</v>
      </c>
      <c r="M16" t="str">
        <f>TEXT(Table1[[#This Row],[DateTime]],"dddd")</f>
        <v>Sunday</v>
      </c>
      <c r="N16">
        <f>YEAR(Table1[[#This Row],[DateTime]])</f>
        <v>2021</v>
      </c>
      <c r="O16" s="2" t="str">
        <f>VLOOKUP(Table1[[#This Row],[Store ID]],Table2[],2,FALSE)</f>
        <v>Mountain</v>
      </c>
      <c r="Q16" s="6"/>
    </row>
    <row r="17" spans="1:15" x14ac:dyDescent="0.25">
      <c r="A17">
        <v>7</v>
      </c>
      <c r="B17">
        <v>4</v>
      </c>
      <c r="C17" t="s">
        <v>8</v>
      </c>
      <c r="D17" t="s">
        <v>5</v>
      </c>
      <c r="E17">
        <v>3</v>
      </c>
      <c r="F17" s="4">
        <v>14.18</v>
      </c>
      <c r="G17" s="7">
        <v>0</v>
      </c>
      <c r="H17" s="7">
        <v>0.11</v>
      </c>
      <c r="I17" s="4">
        <v>47.22</v>
      </c>
      <c r="J17" s="1">
        <v>44213.760439814818</v>
      </c>
      <c r="K17">
        <v>3</v>
      </c>
      <c r="L17" t="str">
        <f>TEXT(Table1[[#This Row],[DateTime]],"mmmm")</f>
        <v>January</v>
      </c>
      <c r="M17" t="str">
        <f>TEXT(Table1[[#This Row],[DateTime]],"dddd")</f>
        <v>Sunday</v>
      </c>
      <c r="N17">
        <f>YEAR(Table1[[#This Row],[DateTime]])</f>
        <v>2021</v>
      </c>
      <c r="O17" s="2" t="str">
        <f>VLOOKUP(Table1[[#This Row],[Store ID]],Table2[],2,FALSE)</f>
        <v>Mountain</v>
      </c>
    </row>
    <row r="18" spans="1:15" x14ac:dyDescent="0.25">
      <c r="A18">
        <v>8</v>
      </c>
      <c r="B18">
        <v>5</v>
      </c>
      <c r="C18" t="s">
        <v>2</v>
      </c>
      <c r="D18" t="s">
        <v>3</v>
      </c>
      <c r="E18">
        <v>1</v>
      </c>
      <c r="F18" s="4">
        <v>4.16</v>
      </c>
      <c r="G18" s="7">
        <v>2.5000000000000001E-2</v>
      </c>
      <c r="H18" s="7">
        <v>0.11</v>
      </c>
      <c r="I18" s="4">
        <v>4.5</v>
      </c>
      <c r="J18" s="1">
        <v>44213.764965277776</v>
      </c>
      <c r="K18">
        <v>4</v>
      </c>
      <c r="L18" t="str">
        <f>TEXT(Table1[[#This Row],[DateTime]],"mmmm")</f>
        <v>January</v>
      </c>
      <c r="M18" t="str">
        <f>TEXT(Table1[[#This Row],[DateTime]],"dddd")</f>
        <v>Sunday</v>
      </c>
      <c r="N18">
        <f>YEAR(Table1[[#This Row],[DateTime]])</f>
        <v>2021</v>
      </c>
      <c r="O18" s="2" t="str">
        <f>VLOOKUP(Table1[[#This Row],[Store ID]],Table2[],2,FALSE)</f>
        <v>Wholesale</v>
      </c>
    </row>
    <row r="19" spans="1:15" x14ac:dyDescent="0.25">
      <c r="A19">
        <v>9</v>
      </c>
      <c r="B19">
        <v>5</v>
      </c>
      <c r="C19" t="s">
        <v>9</v>
      </c>
      <c r="D19" t="s">
        <v>3</v>
      </c>
      <c r="E19">
        <v>2</v>
      </c>
      <c r="F19" s="4">
        <v>18.510000000000002</v>
      </c>
      <c r="G19" s="7">
        <v>2.5000000000000001E-2</v>
      </c>
      <c r="H19" s="7">
        <v>0.11</v>
      </c>
      <c r="I19" s="4">
        <v>40.06</v>
      </c>
      <c r="J19" s="1">
        <v>44214</v>
      </c>
      <c r="K19">
        <v>4</v>
      </c>
      <c r="L19" t="str">
        <f>TEXT(Table1[[#This Row],[DateTime]],"mmmm")</f>
        <v>January</v>
      </c>
      <c r="M19" t="str">
        <f>TEXT(Table1[[#This Row],[DateTime]],"dddd")</f>
        <v>Monday</v>
      </c>
      <c r="N19">
        <f>YEAR(Table1[[#This Row],[DateTime]])</f>
        <v>2021</v>
      </c>
      <c r="O19" s="2" t="str">
        <f>VLOOKUP(Table1[[#This Row],[Store ID]],Table2[],2,FALSE)</f>
        <v>Wholesale</v>
      </c>
    </row>
    <row r="20" spans="1:15" x14ac:dyDescent="0.25">
      <c r="A20">
        <v>10</v>
      </c>
      <c r="B20" s="3">
        <v>5</v>
      </c>
      <c r="C20" t="s">
        <v>0</v>
      </c>
      <c r="D20" t="s">
        <v>1</v>
      </c>
      <c r="E20">
        <v>1</v>
      </c>
      <c r="F20" s="4">
        <v>2.4</v>
      </c>
      <c r="G20" s="7">
        <v>2.5000000000000001E-2</v>
      </c>
      <c r="H20" s="7">
        <v>0.11</v>
      </c>
      <c r="I20" s="4">
        <v>2.6</v>
      </c>
      <c r="J20" s="1">
        <v>44244.764965277776</v>
      </c>
      <c r="K20">
        <v>4</v>
      </c>
      <c r="L20" t="str">
        <f>TEXT(Table1[[#This Row],[DateTime]],"mmmm")</f>
        <v>February</v>
      </c>
      <c r="M20" t="str">
        <f>TEXT(Table1[[#This Row],[DateTime]],"dddd")</f>
        <v>Wednesday</v>
      </c>
      <c r="N20">
        <f>YEAR(Table1[[#This Row],[DateTime]])</f>
        <v>2021</v>
      </c>
      <c r="O20" s="2" t="str">
        <f>VLOOKUP(Table1[[#This Row],[Store ID]],Table2[],2,FALSE)</f>
        <v>Wholesale</v>
      </c>
    </row>
    <row r="21" spans="1:15" x14ac:dyDescent="0.25">
      <c r="A21">
        <v>11</v>
      </c>
      <c r="B21">
        <v>6</v>
      </c>
      <c r="C21" t="s">
        <v>0</v>
      </c>
      <c r="D21" t="s">
        <v>1</v>
      </c>
      <c r="E21">
        <v>2</v>
      </c>
      <c r="F21" s="4">
        <v>2.4</v>
      </c>
      <c r="G21" s="7">
        <v>0.1</v>
      </c>
      <c r="H21" s="7">
        <v>0.11</v>
      </c>
      <c r="I21" s="4">
        <v>4.8</v>
      </c>
      <c r="J21" s="1">
        <v>44245</v>
      </c>
      <c r="K21">
        <v>2</v>
      </c>
      <c r="L21" s="2" t="str">
        <f>TEXT(Table1[[#This Row],[DateTime]],"mmmm")</f>
        <v>February</v>
      </c>
      <c r="M21" t="str">
        <f>TEXT(Table1[[#This Row],[DateTime]],"dddd")</f>
        <v>Thursday</v>
      </c>
      <c r="N21">
        <f>YEAR(Table1[[#This Row],[DateTime]])</f>
        <v>2021</v>
      </c>
      <c r="O21" s="2" t="str">
        <f>VLOOKUP(Table1[[#This Row],[Store ID]],Table2[],2,FALSE)</f>
        <v>Midtown</v>
      </c>
    </row>
    <row r="22" spans="1:15" x14ac:dyDescent="0.25">
      <c r="A22">
        <v>12</v>
      </c>
      <c r="B22">
        <v>7</v>
      </c>
      <c r="C22" t="s">
        <v>2</v>
      </c>
      <c r="D22" t="s">
        <v>3</v>
      </c>
      <c r="E22">
        <v>3</v>
      </c>
      <c r="F22" s="4">
        <v>4.16</v>
      </c>
      <c r="G22" s="7">
        <v>2.5000000000000001E-2</v>
      </c>
      <c r="H22" s="7">
        <v>0.11</v>
      </c>
      <c r="I22" s="4">
        <v>13.51</v>
      </c>
      <c r="J22" s="1">
        <v>44246</v>
      </c>
      <c r="K22">
        <v>2</v>
      </c>
      <c r="L22" s="2" t="str">
        <f>TEXT(Table1[[#This Row],[DateTime]],"mmmm")</f>
        <v>February</v>
      </c>
      <c r="M22" t="str">
        <f>TEXT(Table1[[#This Row],[DateTime]],"dddd")</f>
        <v>Friday</v>
      </c>
      <c r="N22">
        <f>YEAR(Table1[[#This Row],[DateTime]])</f>
        <v>2021</v>
      </c>
      <c r="O22" s="2" t="str">
        <f>VLOOKUP(Table1[[#This Row],[Store ID]],Table2[],2,FALSE)</f>
        <v>Midtown</v>
      </c>
    </row>
    <row r="23" spans="1:15" x14ac:dyDescent="0.25">
      <c r="A23">
        <v>13</v>
      </c>
      <c r="B23">
        <v>8</v>
      </c>
      <c r="C23" t="s">
        <v>4</v>
      </c>
      <c r="D23" t="s">
        <v>5</v>
      </c>
      <c r="E23">
        <v>3</v>
      </c>
      <c r="F23" s="4">
        <v>6.8100000000000005</v>
      </c>
      <c r="G23" s="7">
        <v>0</v>
      </c>
      <c r="H23" s="7">
        <v>0.11</v>
      </c>
      <c r="I23" s="4">
        <v>22.68</v>
      </c>
      <c r="J23" s="1">
        <v>44247</v>
      </c>
      <c r="K23">
        <v>2</v>
      </c>
      <c r="L23" s="2" t="str">
        <f>TEXT(Table1[[#This Row],[DateTime]],"mmmm")</f>
        <v>February</v>
      </c>
      <c r="M23" t="str">
        <f>TEXT(Table1[[#This Row],[DateTime]],"dddd")</f>
        <v>Saturday</v>
      </c>
      <c r="N23">
        <f>YEAR(Table1[[#This Row],[DateTime]])</f>
        <v>2021</v>
      </c>
      <c r="O23" s="2" t="str">
        <f>VLOOKUP(Table1[[#This Row],[Store ID]],Table2[],2,FALSE)</f>
        <v>Midtown</v>
      </c>
    </row>
    <row r="24" spans="1:15" x14ac:dyDescent="0.25">
      <c r="A24">
        <v>14</v>
      </c>
      <c r="B24">
        <v>9</v>
      </c>
      <c r="C24" t="s">
        <v>6</v>
      </c>
      <c r="D24" t="s">
        <v>3</v>
      </c>
      <c r="E24">
        <v>3</v>
      </c>
      <c r="F24" s="4">
        <v>8.48</v>
      </c>
      <c r="G24" s="7">
        <v>0</v>
      </c>
      <c r="H24" s="7">
        <v>0.11</v>
      </c>
      <c r="I24" s="4">
        <v>28.24</v>
      </c>
      <c r="J24" s="1">
        <v>44248</v>
      </c>
      <c r="K24">
        <v>3</v>
      </c>
      <c r="L24" s="2" t="str">
        <f>TEXT(Table1[[#This Row],[DateTime]],"mmmm")</f>
        <v>February</v>
      </c>
      <c r="M24" t="str">
        <f>TEXT(Table1[[#This Row],[DateTime]],"dddd")</f>
        <v>Sunday</v>
      </c>
      <c r="N24">
        <f>YEAR(Table1[[#This Row],[DateTime]])</f>
        <v>2021</v>
      </c>
      <c r="O24" s="2" t="str">
        <f>VLOOKUP(Table1[[#This Row],[Store ID]],Table2[],2,FALSE)</f>
        <v>Mountain</v>
      </c>
    </row>
    <row r="25" spans="1:15" x14ac:dyDescent="0.25">
      <c r="A25">
        <v>15</v>
      </c>
      <c r="B25">
        <v>10</v>
      </c>
      <c r="C25" t="s">
        <v>2</v>
      </c>
      <c r="D25" t="s">
        <v>3</v>
      </c>
      <c r="E25">
        <v>1</v>
      </c>
      <c r="F25" s="4">
        <v>4.16</v>
      </c>
      <c r="G25" s="7">
        <v>0</v>
      </c>
      <c r="H25" s="7">
        <v>0.11</v>
      </c>
      <c r="I25" s="4">
        <v>4.62</v>
      </c>
      <c r="J25" s="1">
        <v>44249</v>
      </c>
      <c r="K25">
        <v>1</v>
      </c>
      <c r="L25" s="2" t="str">
        <f>TEXT(Table1[[#This Row],[DateTime]],"mmmm")</f>
        <v>February</v>
      </c>
      <c r="M25" t="str">
        <f>TEXT(Table1[[#This Row],[DateTime]],"dddd")</f>
        <v>Monday</v>
      </c>
      <c r="N25">
        <f>YEAR(Table1[[#This Row],[DateTime]])</f>
        <v>2021</v>
      </c>
      <c r="O25" s="2" t="str">
        <f>VLOOKUP(Table1[[#This Row],[Store ID]],Table2[],2,FALSE)</f>
        <v>Downtown</v>
      </c>
    </row>
    <row r="26" spans="1:15" x14ac:dyDescent="0.25">
      <c r="A26">
        <v>16</v>
      </c>
      <c r="B26">
        <v>11</v>
      </c>
      <c r="C26" t="s">
        <v>7</v>
      </c>
      <c r="D26" t="s">
        <v>5</v>
      </c>
      <c r="E26">
        <v>3</v>
      </c>
      <c r="F26" s="4">
        <v>12.34</v>
      </c>
      <c r="G26" s="7">
        <v>0</v>
      </c>
      <c r="H26" s="7">
        <v>0.11</v>
      </c>
      <c r="I26" s="4">
        <v>41.09</v>
      </c>
      <c r="J26" s="1">
        <v>44250</v>
      </c>
      <c r="K26">
        <v>3</v>
      </c>
      <c r="L26" s="2" t="str">
        <f>TEXT(Table1[[#This Row],[DateTime]],"mmmm")</f>
        <v>February</v>
      </c>
      <c r="M26" t="str">
        <f>TEXT(Table1[[#This Row],[DateTime]],"dddd")</f>
        <v>Tuesday</v>
      </c>
      <c r="N26">
        <f>YEAR(Table1[[#This Row],[DateTime]])</f>
        <v>2021</v>
      </c>
      <c r="O26" s="2" t="str">
        <f>VLOOKUP(Table1[[#This Row],[Store ID]],Table2[],2,FALSE)</f>
        <v>Mountain</v>
      </c>
    </row>
    <row r="27" spans="1:15" x14ac:dyDescent="0.25">
      <c r="A27">
        <v>17</v>
      </c>
      <c r="B27">
        <v>12</v>
      </c>
      <c r="C27" t="s">
        <v>8</v>
      </c>
      <c r="D27" t="s">
        <v>5</v>
      </c>
      <c r="E27">
        <v>3</v>
      </c>
      <c r="F27" s="4">
        <v>14.18</v>
      </c>
      <c r="G27" s="7">
        <v>0</v>
      </c>
      <c r="H27" s="7">
        <v>0.11</v>
      </c>
      <c r="I27" s="4">
        <v>47.22</v>
      </c>
      <c r="J27" s="1">
        <v>44251</v>
      </c>
      <c r="K27">
        <v>3</v>
      </c>
      <c r="L27" s="2" t="str">
        <f>TEXT(Table1[[#This Row],[DateTime]],"mmmm")</f>
        <v>February</v>
      </c>
      <c r="M27" t="str">
        <f>TEXT(Table1[[#This Row],[DateTime]],"dddd")</f>
        <v>Wednesday</v>
      </c>
      <c r="N27">
        <f>YEAR(Table1[[#This Row],[DateTime]])</f>
        <v>2021</v>
      </c>
      <c r="O27" s="2" t="str">
        <f>VLOOKUP(Table1[[#This Row],[Store ID]],Table2[],2,FALSE)</f>
        <v>Mountain</v>
      </c>
    </row>
    <row r="28" spans="1:15" x14ac:dyDescent="0.25">
      <c r="A28">
        <v>18</v>
      </c>
      <c r="B28">
        <v>13</v>
      </c>
      <c r="C28" t="s">
        <v>2</v>
      </c>
      <c r="D28" t="s">
        <v>3</v>
      </c>
      <c r="E28">
        <v>1</v>
      </c>
      <c r="F28" s="4">
        <v>4.16</v>
      </c>
      <c r="G28" s="7">
        <v>2.5000000000000001E-2</v>
      </c>
      <c r="H28" s="7">
        <v>0.11</v>
      </c>
      <c r="I28" s="4">
        <v>4.5</v>
      </c>
      <c r="J28" s="1">
        <v>44252</v>
      </c>
      <c r="K28">
        <v>4</v>
      </c>
      <c r="L28" s="2" t="str">
        <f>TEXT(Table1[[#This Row],[DateTime]],"mmmm")</f>
        <v>February</v>
      </c>
      <c r="M28" t="str">
        <f>TEXT(Table1[[#This Row],[DateTime]],"dddd")</f>
        <v>Thursday</v>
      </c>
      <c r="N28">
        <f>YEAR(Table1[[#This Row],[DateTime]])</f>
        <v>2021</v>
      </c>
      <c r="O28" s="2" t="str">
        <f>VLOOKUP(Table1[[#This Row],[Store ID]],Table2[],2,FALSE)</f>
        <v>Wholesale</v>
      </c>
    </row>
    <row r="29" spans="1:15" x14ac:dyDescent="0.25">
      <c r="A29">
        <v>19</v>
      </c>
      <c r="B29">
        <v>14</v>
      </c>
      <c r="C29" t="s">
        <v>9</v>
      </c>
      <c r="D29" t="s">
        <v>3</v>
      </c>
      <c r="E29">
        <v>2</v>
      </c>
      <c r="F29" s="4">
        <v>18.510000000000002</v>
      </c>
      <c r="G29" s="7">
        <v>2.5000000000000001E-2</v>
      </c>
      <c r="H29" s="7">
        <v>0.11</v>
      </c>
      <c r="I29" s="4">
        <v>40.06</v>
      </c>
      <c r="J29" s="1">
        <v>44253</v>
      </c>
      <c r="K29">
        <v>4</v>
      </c>
      <c r="L29" s="2" t="str">
        <f>TEXT(Table1[[#This Row],[DateTime]],"mmmm")</f>
        <v>February</v>
      </c>
      <c r="M29" t="str">
        <f>TEXT(Table1[[#This Row],[DateTime]],"dddd")</f>
        <v>Friday</v>
      </c>
      <c r="N29">
        <f>YEAR(Table1[[#This Row],[DateTime]])</f>
        <v>2021</v>
      </c>
      <c r="O29" s="2" t="str">
        <f>VLOOKUP(Table1[[#This Row],[Store ID]],Table2[],2,FALSE)</f>
        <v>Wholesale</v>
      </c>
    </row>
    <row r="30" spans="1:15" x14ac:dyDescent="0.25">
      <c r="A30">
        <v>20</v>
      </c>
      <c r="B30">
        <v>15</v>
      </c>
      <c r="C30" t="s">
        <v>0</v>
      </c>
      <c r="D30" t="s">
        <v>1</v>
      </c>
      <c r="E30">
        <v>1</v>
      </c>
      <c r="F30" s="4">
        <v>2.4</v>
      </c>
      <c r="G30" s="7">
        <v>2.5000000000000001E-2</v>
      </c>
      <c r="H30" s="7">
        <v>0.11</v>
      </c>
      <c r="I30" s="4">
        <v>2.6</v>
      </c>
      <c r="J30" s="1">
        <v>44254</v>
      </c>
      <c r="K30">
        <v>4</v>
      </c>
      <c r="L30" s="2" t="str">
        <f>TEXT(Table1[[#This Row],[DateTime]],"mmmm")</f>
        <v>February</v>
      </c>
      <c r="M30" t="str">
        <f>TEXT(Table1[[#This Row],[DateTime]],"dddd")</f>
        <v>Saturday</v>
      </c>
      <c r="N30">
        <f>YEAR(Table1[[#This Row],[DateTime]])</f>
        <v>2021</v>
      </c>
      <c r="O30" s="2" t="str">
        <f>VLOOKUP(Table1[[#This Row],[Store ID]],Table2[],2,FALSE)</f>
        <v>Wholesale</v>
      </c>
    </row>
    <row r="31" spans="1:15" x14ac:dyDescent="0.25">
      <c r="A31">
        <v>21</v>
      </c>
      <c r="B31">
        <v>16</v>
      </c>
      <c r="C31" t="s">
        <v>0</v>
      </c>
      <c r="D31" t="s">
        <v>1</v>
      </c>
      <c r="E31">
        <v>2</v>
      </c>
      <c r="F31" s="4">
        <v>2.4</v>
      </c>
      <c r="G31" s="7">
        <v>0.1</v>
      </c>
      <c r="H31" s="7">
        <v>0.11</v>
      </c>
      <c r="I31" s="4">
        <v>4.8</v>
      </c>
      <c r="J31" s="1">
        <v>43908</v>
      </c>
      <c r="K31">
        <v>2</v>
      </c>
      <c r="L31" s="2" t="str">
        <f>TEXT(Table1[[#This Row],[DateTime]],"mmmm")</f>
        <v>March</v>
      </c>
      <c r="M31" t="str">
        <f>TEXT(Table1[[#This Row],[DateTime]],"dddd")</f>
        <v>Wednesday</v>
      </c>
      <c r="N31">
        <f>YEAR(Table1[[#This Row],[DateTime]])</f>
        <v>2020</v>
      </c>
      <c r="O31" s="2" t="str">
        <f>VLOOKUP(Table1[[#This Row],[Store ID]],Table2[],2,FALSE)</f>
        <v>Midtown</v>
      </c>
    </row>
    <row r="32" spans="1:15" x14ac:dyDescent="0.25">
      <c r="A32">
        <v>22</v>
      </c>
      <c r="B32">
        <v>17</v>
      </c>
      <c r="C32" t="s">
        <v>2</v>
      </c>
      <c r="D32" t="s">
        <v>3</v>
      </c>
      <c r="E32">
        <v>3</v>
      </c>
      <c r="F32" s="4">
        <v>4.16</v>
      </c>
      <c r="G32" s="7">
        <v>2.5000000000000001E-2</v>
      </c>
      <c r="H32" s="7">
        <v>0.11</v>
      </c>
      <c r="I32" s="4">
        <v>13.51</v>
      </c>
      <c r="J32" s="1">
        <v>43909</v>
      </c>
      <c r="K32">
        <v>2</v>
      </c>
      <c r="L32" s="2" t="str">
        <f>TEXT(Table1[[#This Row],[DateTime]],"mmmm")</f>
        <v>March</v>
      </c>
      <c r="M32" t="str">
        <f>TEXT(Table1[[#This Row],[DateTime]],"dddd")</f>
        <v>Thursday</v>
      </c>
      <c r="N32">
        <f>YEAR(Table1[[#This Row],[DateTime]])</f>
        <v>2020</v>
      </c>
      <c r="O32" s="2" t="str">
        <f>VLOOKUP(Table1[[#This Row],[Store ID]],Table2[],2,FALSE)</f>
        <v>Midtown</v>
      </c>
    </row>
    <row r="33" spans="1:15" x14ac:dyDescent="0.25">
      <c r="A33">
        <v>23</v>
      </c>
      <c r="B33">
        <v>18</v>
      </c>
      <c r="C33" t="s">
        <v>4</v>
      </c>
      <c r="D33" t="s">
        <v>5</v>
      </c>
      <c r="E33">
        <v>3</v>
      </c>
      <c r="F33" s="4">
        <v>6.8100000000000005</v>
      </c>
      <c r="G33" s="7">
        <v>0</v>
      </c>
      <c r="H33" s="7">
        <v>0.11</v>
      </c>
      <c r="I33" s="4">
        <v>22.68</v>
      </c>
      <c r="J33" s="1">
        <v>43910</v>
      </c>
      <c r="K33">
        <v>2</v>
      </c>
      <c r="L33" s="2" t="str">
        <f>TEXT(Table1[[#This Row],[DateTime]],"mmmm")</f>
        <v>March</v>
      </c>
      <c r="M33" t="str">
        <f>TEXT(Table1[[#This Row],[DateTime]],"dddd")</f>
        <v>Friday</v>
      </c>
      <c r="N33">
        <f>YEAR(Table1[[#This Row],[DateTime]])</f>
        <v>2020</v>
      </c>
      <c r="O33" s="2" t="str">
        <f>VLOOKUP(Table1[[#This Row],[Store ID]],Table2[],2,FALSE)</f>
        <v>Midtown</v>
      </c>
    </row>
    <row r="34" spans="1:15" x14ac:dyDescent="0.25">
      <c r="A34">
        <v>24</v>
      </c>
      <c r="B34">
        <v>19</v>
      </c>
      <c r="C34" t="s">
        <v>6</v>
      </c>
      <c r="D34" t="s">
        <v>3</v>
      </c>
      <c r="E34">
        <v>3</v>
      </c>
      <c r="F34" s="4">
        <v>8.48</v>
      </c>
      <c r="G34" s="7">
        <v>0</v>
      </c>
      <c r="H34" s="7">
        <v>0.11</v>
      </c>
      <c r="I34" s="4">
        <v>28.24</v>
      </c>
      <c r="J34" s="1">
        <v>43911</v>
      </c>
      <c r="K34">
        <v>3</v>
      </c>
      <c r="L34" s="2" t="str">
        <f>TEXT(Table1[[#This Row],[DateTime]],"mmmm")</f>
        <v>March</v>
      </c>
      <c r="M34" t="str">
        <f>TEXT(Table1[[#This Row],[DateTime]],"dddd")</f>
        <v>Saturday</v>
      </c>
      <c r="N34">
        <f>YEAR(Table1[[#This Row],[DateTime]])</f>
        <v>2020</v>
      </c>
      <c r="O34" s="2" t="str">
        <f>VLOOKUP(Table1[[#This Row],[Store ID]],Table2[],2,FALSE)</f>
        <v>Mountain</v>
      </c>
    </row>
    <row r="35" spans="1:15" x14ac:dyDescent="0.25">
      <c r="A35">
        <v>25</v>
      </c>
      <c r="B35">
        <v>20</v>
      </c>
      <c r="C35" t="s">
        <v>2</v>
      </c>
      <c r="D35" t="s">
        <v>3</v>
      </c>
      <c r="E35">
        <v>1</v>
      </c>
      <c r="F35" s="4">
        <v>4.16</v>
      </c>
      <c r="G35" s="7">
        <v>0</v>
      </c>
      <c r="H35" s="7">
        <v>0.11</v>
      </c>
      <c r="I35" s="4">
        <v>4.62</v>
      </c>
      <c r="J35" s="1">
        <v>43912</v>
      </c>
      <c r="K35">
        <v>1</v>
      </c>
      <c r="L35" s="2" t="str">
        <f>TEXT(Table1[[#This Row],[DateTime]],"mmmm")</f>
        <v>March</v>
      </c>
      <c r="M35" t="str">
        <f>TEXT(Table1[[#This Row],[DateTime]],"dddd")</f>
        <v>Sunday</v>
      </c>
      <c r="N35">
        <f>YEAR(Table1[[#This Row],[DateTime]])</f>
        <v>2020</v>
      </c>
      <c r="O35" s="2" t="str">
        <f>VLOOKUP(Table1[[#This Row],[Store ID]],Table2[],2,FALSE)</f>
        <v>Downtown</v>
      </c>
    </row>
    <row r="36" spans="1:15" x14ac:dyDescent="0.25">
      <c r="A36">
        <v>26</v>
      </c>
      <c r="B36">
        <v>21</v>
      </c>
      <c r="C36" t="s">
        <v>7</v>
      </c>
      <c r="D36" t="s">
        <v>5</v>
      </c>
      <c r="E36">
        <v>3</v>
      </c>
      <c r="F36" s="4">
        <v>12.34</v>
      </c>
      <c r="G36" s="7">
        <v>0</v>
      </c>
      <c r="H36" s="7">
        <v>0.11</v>
      </c>
      <c r="I36" s="4">
        <v>41.09</v>
      </c>
      <c r="J36" s="1">
        <v>43913</v>
      </c>
      <c r="K36">
        <v>3</v>
      </c>
      <c r="L36" s="2" t="str">
        <f>TEXT(Table1[[#This Row],[DateTime]],"mmmm")</f>
        <v>March</v>
      </c>
      <c r="M36" t="str">
        <f>TEXT(Table1[[#This Row],[DateTime]],"dddd")</f>
        <v>Monday</v>
      </c>
      <c r="N36">
        <f>YEAR(Table1[[#This Row],[DateTime]])</f>
        <v>2020</v>
      </c>
      <c r="O36" s="2" t="str">
        <f>VLOOKUP(Table1[[#This Row],[Store ID]],Table2[],2,FALSE)</f>
        <v>Mountain</v>
      </c>
    </row>
    <row r="37" spans="1:15" x14ac:dyDescent="0.25">
      <c r="A37">
        <v>27</v>
      </c>
      <c r="B37">
        <v>22</v>
      </c>
      <c r="C37" t="s">
        <v>8</v>
      </c>
      <c r="D37" t="s">
        <v>5</v>
      </c>
      <c r="E37">
        <v>3</v>
      </c>
      <c r="F37" s="4">
        <v>14.18</v>
      </c>
      <c r="G37" s="7">
        <v>0</v>
      </c>
      <c r="H37" s="7">
        <v>0.11</v>
      </c>
      <c r="I37" s="4">
        <v>47.22</v>
      </c>
      <c r="J37" s="1">
        <v>43914</v>
      </c>
      <c r="K37">
        <v>3</v>
      </c>
      <c r="L37" s="2" t="str">
        <f>TEXT(Table1[[#This Row],[DateTime]],"mmmm")</f>
        <v>March</v>
      </c>
      <c r="M37" t="str">
        <f>TEXT(Table1[[#This Row],[DateTime]],"dddd")</f>
        <v>Tuesday</v>
      </c>
      <c r="N37">
        <f>YEAR(Table1[[#This Row],[DateTime]])</f>
        <v>2020</v>
      </c>
      <c r="O37" s="2" t="str">
        <f>VLOOKUP(Table1[[#This Row],[Store ID]],Table2[],2,FALSE)</f>
        <v>Mountain</v>
      </c>
    </row>
    <row r="38" spans="1:15" x14ac:dyDescent="0.25">
      <c r="A38">
        <v>28</v>
      </c>
      <c r="B38">
        <v>23</v>
      </c>
      <c r="C38" t="s">
        <v>2</v>
      </c>
      <c r="D38" t="s">
        <v>3</v>
      </c>
      <c r="E38">
        <v>1</v>
      </c>
      <c r="F38" s="4">
        <v>4.16</v>
      </c>
      <c r="G38" s="7">
        <v>2.5000000000000001E-2</v>
      </c>
      <c r="H38" s="7">
        <v>0.11</v>
      </c>
      <c r="I38" s="4">
        <v>4.5</v>
      </c>
      <c r="J38" s="1">
        <v>43915</v>
      </c>
      <c r="K38">
        <v>4</v>
      </c>
      <c r="L38" s="2" t="str">
        <f>TEXT(Table1[[#This Row],[DateTime]],"mmmm")</f>
        <v>March</v>
      </c>
      <c r="M38" t="str">
        <f>TEXT(Table1[[#This Row],[DateTime]],"dddd")</f>
        <v>Wednesday</v>
      </c>
      <c r="N38">
        <f>YEAR(Table1[[#This Row],[DateTime]])</f>
        <v>2020</v>
      </c>
      <c r="O38" s="2" t="str">
        <f>VLOOKUP(Table1[[#This Row],[Store ID]],Table2[],2,FALSE)</f>
        <v>Wholesale</v>
      </c>
    </row>
    <row r="39" spans="1:15" x14ac:dyDescent="0.25">
      <c r="A39">
        <v>29</v>
      </c>
      <c r="B39">
        <v>24</v>
      </c>
      <c r="C39" t="s">
        <v>9</v>
      </c>
      <c r="D39" t="s">
        <v>3</v>
      </c>
      <c r="E39">
        <v>2</v>
      </c>
      <c r="F39" s="4">
        <v>18.510000000000002</v>
      </c>
      <c r="G39" s="7">
        <v>2.5000000000000001E-2</v>
      </c>
      <c r="H39" s="7">
        <v>0.11</v>
      </c>
      <c r="I39" s="4">
        <v>40.06</v>
      </c>
      <c r="J39" s="1">
        <v>43916</v>
      </c>
      <c r="K39">
        <v>4</v>
      </c>
      <c r="L39" s="2" t="str">
        <f>TEXT(Table1[[#This Row],[DateTime]],"mmmm")</f>
        <v>March</v>
      </c>
      <c r="M39" t="str">
        <f>TEXT(Table1[[#This Row],[DateTime]],"dddd")</f>
        <v>Thursday</v>
      </c>
      <c r="N39">
        <f>YEAR(Table1[[#This Row],[DateTime]])</f>
        <v>2020</v>
      </c>
      <c r="O39" s="2" t="str">
        <f>VLOOKUP(Table1[[#This Row],[Store ID]],Table2[],2,FALSE)</f>
        <v>Wholesale</v>
      </c>
    </row>
    <row r="40" spans="1:15" x14ac:dyDescent="0.25">
      <c r="A40">
        <v>30</v>
      </c>
      <c r="B40">
        <v>25</v>
      </c>
      <c r="C40" t="s">
        <v>0</v>
      </c>
      <c r="D40" t="s">
        <v>1</v>
      </c>
      <c r="E40">
        <v>1</v>
      </c>
      <c r="F40" s="4">
        <v>2.4</v>
      </c>
      <c r="G40" s="7">
        <v>2.5000000000000001E-2</v>
      </c>
      <c r="H40" s="7">
        <v>0.11</v>
      </c>
      <c r="I40" s="4">
        <v>2.6</v>
      </c>
      <c r="J40" s="1">
        <v>43917</v>
      </c>
      <c r="K40">
        <v>4</v>
      </c>
      <c r="L40" s="2" t="str">
        <f>TEXT(Table1[[#This Row],[DateTime]],"mmmm")</f>
        <v>March</v>
      </c>
      <c r="M40" t="str">
        <f>TEXT(Table1[[#This Row],[DateTime]],"dddd")</f>
        <v>Friday</v>
      </c>
      <c r="N40">
        <f>YEAR(Table1[[#This Row],[DateTime]])</f>
        <v>2020</v>
      </c>
      <c r="O40" s="2" t="str">
        <f>VLOOKUP(Table1[[#This Row],[Store ID]],Table2[],2,FALSE)</f>
        <v>Wholesale</v>
      </c>
    </row>
  </sheetData>
  <pageMargins left="0.7" right="0.7" top="0.75" bottom="0.75" header="0.3" footer="0.3"/>
  <pageSetup orientation="portrait" horizontalDpi="1200" verticalDpi="1200"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16504-EC12-4D94-954D-6AB8D63E12B9}">
  <dimension ref="A1:G139"/>
  <sheetViews>
    <sheetView tabSelected="1" workbookViewId="0">
      <selection activeCell="B5" sqref="B5"/>
    </sheetView>
  </sheetViews>
  <sheetFormatPr defaultRowHeight="15" x14ac:dyDescent="0.25"/>
  <cols>
    <col min="3" max="3" width="19.5703125" style="13" customWidth="1"/>
    <col min="4" max="4" width="13.7109375" customWidth="1"/>
    <col min="5" max="5" width="11" customWidth="1"/>
    <col min="7" max="7" width="13" customWidth="1"/>
  </cols>
  <sheetData>
    <row r="1" spans="1:7" ht="21.75" customHeight="1" x14ac:dyDescent="0.25">
      <c r="A1" s="11" t="s">
        <v>11</v>
      </c>
      <c r="B1" s="8" t="s">
        <v>51</v>
      </c>
      <c r="C1" s="12" t="s">
        <v>32</v>
      </c>
      <c r="D1" s="11" t="s">
        <v>52</v>
      </c>
      <c r="E1" s="8" t="s">
        <v>33</v>
      </c>
      <c r="F1" s="11" t="s">
        <v>16</v>
      </c>
      <c r="G1" s="11" t="s">
        <v>53</v>
      </c>
    </row>
    <row r="2" spans="1:7" x14ac:dyDescent="0.25">
      <c r="A2">
        <v>1</v>
      </c>
      <c r="B2" t="s">
        <v>34</v>
      </c>
      <c r="C2" s="13">
        <v>43744</v>
      </c>
      <c r="E2" s="9">
        <v>3.02</v>
      </c>
    </row>
    <row r="3" spans="1:7" x14ac:dyDescent="0.25">
      <c r="A3">
        <f>A2+1</f>
        <v>2</v>
      </c>
      <c r="B3" t="s">
        <v>34</v>
      </c>
      <c r="C3" s="15">
        <v>43508</v>
      </c>
      <c r="D3">
        <v>1.89</v>
      </c>
      <c r="E3" s="9">
        <v>2.1</v>
      </c>
    </row>
    <row r="4" spans="1:7" x14ac:dyDescent="0.25">
      <c r="A4">
        <f t="shared" ref="A4:A67" si="0">A3+1</f>
        <v>3</v>
      </c>
      <c r="B4" t="s">
        <v>34</v>
      </c>
      <c r="C4" s="13">
        <v>43788</v>
      </c>
      <c r="D4">
        <v>4.41</v>
      </c>
      <c r="E4" s="9">
        <v>3.73</v>
      </c>
    </row>
    <row r="5" spans="1:7" x14ac:dyDescent="0.25">
      <c r="A5">
        <f t="shared" si="0"/>
        <v>4</v>
      </c>
      <c r="B5" t="s">
        <v>34</v>
      </c>
      <c r="C5" s="13">
        <v>43509</v>
      </c>
      <c r="D5" t="s">
        <v>35</v>
      </c>
      <c r="E5" s="9">
        <v>3.18</v>
      </c>
    </row>
    <row r="6" spans="1:7" x14ac:dyDescent="0.25">
      <c r="A6">
        <f t="shared" si="0"/>
        <v>5</v>
      </c>
      <c r="B6" t="s">
        <v>34</v>
      </c>
      <c r="C6" s="13">
        <v>43717</v>
      </c>
      <c r="D6" t="s">
        <v>35</v>
      </c>
      <c r="E6" s="9">
        <v>3.64</v>
      </c>
    </row>
    <row r="7" spans="1:7" x14ac:dyDescent="0.25">
      <c r="A7">
        <f t="shared" si="0"/>
        <v>6</v>
      </c>
      <c r="B7" t="s">
        <v>34</v>
      </c>
      <c r="C7" s="13">
        <v>43666</v>
      </c>
      <c r="D7" t="s">
        <v>35</v>
      </c>
      <c r="E7" s="9">
        <v>3.34</v>
      </c>
    </row>
    <row r="8" spans="1:7" x14ac:dyDescent="0.25">
      <c r="A8">
        <f t="shared" si="0"/>
        <v>7</v>
      </c>
      <c r="B8" t="s">
        <v>34</v>
      </c>
      <c r="C8" s="13">
        <v>43735</v>
      </c>
      <c r="D8">
        <v>1.83</v>
      </c>
      <c r="E8" s="9">
        <v>3.38</v>
      </c>
    </row>
    <row r="9" spans="1:7" x14ac:dyDescent="0.25">
      <c r="A9">
        <f t="shared" si="0"/>
        <v>8</v>
      </c>
      <c r="B9" t="s">
        <v>34</v>
      </c>
      <c r="C9" s="13">
        <v>43709</v>
      </c>
      <c r="D9" t="s">
        <v>35</v>
      </c>
      <c r="E9" s="9">
        <v>3.64</v>
      </c>
    </row>
    <row r="10" spans="1:7" x14ac:dyDescent="0.25">
      <c r="A10">
        <f t="shared" si="0"/>
        <v>9</v>
      </c>
      <c r="B10" t="s">
        <v>34</v>
      </c>
      <c r="C10" s="13">
        <v>43707</v>
      </c>
      <c r="D10" t="s">
        <v>36</v>
      </c>
      <c r="E10" s="9">
        <v>4.55</v>
      </c>
    </row>
    <row r="11" spans="1:7" x14ac:dyDescent="0.25">
      <c r="A11">
        <f t="shared" si="0"/>
        <v>10</v>
      </c>
      <c r="B11" t="s">
        <v>34</v>
      </c>
      <c r="C11" s="14" t="s">
        <v>37</v>
      </c>
      <c r="D11" t="s">
        <v>36</v>
      </c>
      <c r="E11" s="9">
        <v>1.82</v>
      </c>
    </row>
    <row r="12" spans="1:7" x14ac:dyDescent="0.25">
      <c r="A12">
        <f t="shared" si="0"/>
        <v>11</v>
      </c>
      <c r="B12" t="s">
        <v>34</v>
      </c>
      <c r="C12" s="13">
        <v>43774</v>
      </c>
      <c r="D12">
        <v>4.46</v>
      </c>
      <c r="E12" s="9">
        <v>4.21</v>
      </c>
    </row>
    <row r="13" spans="1:7" x14ac:dyDescent="0.25">
      <c r="A13">
        <f t="shared" si="0"/>
        <v>12</v>
      </c>
      <c r="B13" t="s">
        <v>34</v>
      </c>
      <c r="C13" s="13">
        <v>43698</v>
      </c>
      <c r="D13" t="s">
        <v>36</v>
      </c>
      <c r="E13" s="9">
        <v>1.82</v>
      </c>
    </row>
    <row r="14" spans="1:7" x14ac:dyDescent="0.25">
      <c r="A14">
        <f t="shared" si="0"/>
        <v>13</v>
      </c>
      <c r="B14" t="s">
        <v>34</v>
      </c>
      <c r="C14" s="13">
        <v>43742</v>
      </c>
      <c r="D14">
        <v>2.4300000000000002</v>
      </c>
      <c r="E14" s="9">
        <v>4.24</v>
      </c>
    </row>
    <row r="15" spans="1:7" x14ac:dyDescent="0.25">
      <c r="A15">
        <f t="shared" si="0"/>
        <v>14</v>
      </c>
      <c r="B15" t="s">
        <v>34</v>
      </c>
      <c r="C15" s="13">
        <v>43702</v>
      </c>
      <c r="D15" t="s">
        <v>36</v>
      </c>
      <c r="E15" s="9">
        <v>2.73</v>
      </c>
    </row>
    <row r="16" spans="1:7" x14ac:dyDescent="0.25">
      <c r="A16">
        <f t="shared" si="0"/>
        <v>15</v>
      </c>
      <c r="B16" t="s">
        <v>34</v>
      </c>
      <c r="C16" s="13">
        <v>43638</v>
      </c>
      <c r="D16" t="s">
        <v>36</v>
      </c>
      <c r="E16" s="9">
        <v>2.27</v>
      </c>
    </row>
    <row r="17" spans="1:5" x14ac:dyDescent="0.25">
      <c r="A17">
        <f t="shared" si="0"/>
        <v>16</v>
      </c>
      <c r="B17" t="s">
        <v>34</v>
      </c>
      <c r="C17" s="13">
        <v>43696</v>
      </c>
      <c r="D17" t="s">
        <v>36</v>
      </c>
      <c r="E17" s="9">
        <v>5</v>
      </c>
    </row>
    <row r="18" spans="1:5" x14ac:dyDescent="0.25">
      <c r="A18">
        <f t="shared" si="0"/>
        <v>17</v>
      </c>
      <c r="B18" t="s">
        <v>34</v>
      </c>
      <c r="C18" s="13">
        <v>43763</v>
      </c>
      <c r="D18" t="s">
        <v>36</v>
      </c>
      <c r="E18" s="10" t="s">
        <v>38</v>
      </c>
    </row>
    <row r="19" spans="1:5" x14ac:dyDescent="0.25">
      <c r="A19">
        <f t="shared" si="0"/>
        <v>18</v>
      </c>
      <c r="B19" t="s">
        <v>34</v>
      </c>
      <c r="C19" s="13">
        <v>43704</v>
      </c>
      <c r="D19" t="s">
        <v>36</v>
      </c>
      <c r="E19" s="9">
        <v>3.18</v>
      </c>
    </row>
    <row r="20" spans="1:5" x14ac:dyDescent="0.25">
      <c r="A20">
        <f t="shared" si="0"/>
        <v>19</v>
      </c>
      <c r="B20" t="s">
        <v>34</v>
      </c>
      <c r="C20" s="13">
        <v>43691</v>
      </c>
      <c r="D20" t="s">
        <v>36</v>
      </c>
      <c r="E20" s="9">
        <v>4.55</v>
      </c>
    </row>
    <row r="21" spans="1:5" x14ac:dyDescent="0.25">
      <c r="A21">
        <f t="shared" si="0"/>
        <v>20</v>
      </c>
      <c r="B21" t="s">
        <v>34</v>
      </c>
      <c r="C21" s="13">
        <v>43673</v>
      </c>
      <c r="D21" t="s">
        <v>36</v>
      </c>
      <c r="E21" s="9">
        <v>3.18</v>
      </c>
    </row>
    <row r="22" spans="1:5" x14ac:dyDescent="0.25">
      <c r="A22">
        <f t="shared" si="0"/>
        <v>21</v>
      </c>
      <c r="B22" t="s">
        <v>34</v>
      </c>
      <c r="C22" s="13">
        <v>43505</v>
      </c>
      <c r="D22" t="s">
        <v>36</v>
      </c>
      <c r="E22" s="9">
        <v>4.09</v>
      </c>
    </row>
    <row r="23" spans="1:5" x14ac:dyDescent="0.25">
      <c r="A23">
        <f t="shared" si="0"/>
        <v>22</v>
      </c>
      <c r="B23" t="s">
        <v>34</v>
      </c>
      <c r="C23" s="13">
        <v>43526</v>
      </c>
      <c r="D23" t="s">
        <v>36</v>
      </c>
      <c r="E23" s="9">
        <v>1.36</v>
      </c>
    </row>
    <row r="24" spans="1:5" x14ac:dyDescent="0.25">
      <c r="A24">
        <f t="shared" si="0"/>
        <v>23</v>
      </c>
      <c r="B24" t="s">
        <v>34</v>
      </c>
      <c r="C24" s="13">
        <v>43672</v>
      </c>
      <c r="D24" t="s">
        <v>36</v>
      </c>
      <c r="E24" s="9">
        <v>3.64</v>
      </c>
    </row>
    <row r="25" spans="1:5" x14ac:dyDescent="0.25">
      <c r="A25">
        <f t="shared" si="0"/>
        <v>24</v>
      </c>
      <c r="B25" t="s">
        <v>34</v>
      </c>
      <c r="C25" s="13">
        <v>43743</v>
      </c>
      <c r="D25">
        <v>1.8</v>
      </c>
      <c r="E25" s="9">
        <v>3.09</v>
      </c>
    </row>
    <row r="26" spans="1:5" x14ac:dyDescent="0.25">
      <c r="A26">
        <f t="shared" si="0"/>
        <v>25</v>
      </c>
      <c r="B26" t="s">
        <v>34</v>
      </c>
      <c r="C26" s="13">
        <v>43683</v>
      </c>
      <c r="D26" t="s">
        <v>36</v>
      </c>
      <c r="E26" s="9">
        <v>2.73</v>
      </c>
    </row>
    <row r="27" spans="1:5" x14ac:dyDescent="0.25">
      <c r="A27">
        <f t="shared" si="0"/>
        <v>26</v>
      </c>
      <c r="B27" t="s">
        <v>34</v>
      </c>
      <c r="C27" s="13">
        <v>43815</v>
      </c>
      <c r="D27">
        <v>3.67</v>
      </c>
      <c r="E27" s="9">
        <v>4.21</v>
      </c>
    </row>
    <row r="28" spans="1:5" x14ac:dyDescent="0.25">
      <c r="A28">
        <f t="shared" si="0"/>
        <v>27</v>
      </c>
      <c r="B28" t="s">
        <v>34</v>
      </c>
      <c r="C28" s="13">
        <v>43816</v>
      </c>
      <c r="D28">
        <v>2.81</v>
      </c>
      <c r="E28" s="9">
        <v>3.31</v>
      </c>
    </row>
    <row r="29" spans="1:5" x14ac:dyDescent="0.25">
      <c r="A29">
        <f t="shared" si="0"/>
        <v>28</v>
      </c>
      <c r="B29" t="s">
        <v>34</v>
      </c>
      <c r="C29" s="13">
        <v>43817</v>
      </c>
      <c r="D29">
        <v>2.59</v>
      </c>
      <c r="E29" s="9">
        <v>2.96</v>
      </c>
    </row>
    <row r="30" spans="1:5" x14ac:dyDescent="0.25">
      <c r="A30">
        <f t="shared" si="0"/>
        <v>29</v>
      </c>
      <c r="B30" t="s">
        <v>34</v>
      </c>
      <c r="C30" s="13">
        <v>43818</v>
      </c>
      <c r="D30" t="s">
        <v>36</v>
      </c>
      <c r="E30" s="9">
        <v>1.77</v>
      </c>
    </row>
    <row r="31" spans="1:5" x14ac:dyDescent="0.25">
      <c r="A31">
        <f t="shared" si="0"/>
        <v>30</v>
      </c>
      <c r="B31" t="s">
        <v>34</v>
      </c>
      <c r="C31" s="13">
        <v>43445</v>
      </c>
      <c r="D31" t="s">
        <v>36</v>
      </c>
      <c r="E31" s="9">
        <v>5.0999999999999996</v>
      </c>
    </row>
    <row r="32" spans="1:5" x14ac:dyDescent="0.25">
      <c r="A32">
        <f t="shared" si="0"/>
        <v>31</v>
      </c>
      <c r="B32" t="s">
        <v>34</v>
      </c>
      <c r="C32" s="13">
        <v>43518</v>
      </c>
      <c r="D32" t="s">
        <v>36</v>
      </c>
      <c r="E32" s="9">
        <v>2.27</v>
      </c>
    </row>
    <row r="33" spans="1:5" x14ac:dyDescent="0.25">
      <c r="A33">
        <f t="shared" si="0"/>
        <v>32</v>
      </c>
      <c r="B33" t="s">
        <v>34</v>
      </c>
      <c r="C33" s="13">
        <v>43749</v>
      </c>
      <c r="D33">
        <v>1.42</v>
      </c>
      <c r="E33" s="9">
        <v>2.15</v>
      </c>
    </row>
    <row r="34" spans="1:5" x14ac:dyDescent="0.25">
      <c r="A34">
        <f t="shared" si="0"/>
        <v>33</v>
      </c>
      <c r="B34" t="s">
        <v>34</v>
      </c>
      <c r="C34" s="13">
        <v>43634</v>
      </c>
      <c r="D34" t="s">
        <v>36</v>
      </c>
      <c r="E34" s="9">
        <v>2.27</v>
      </c>
    </row>
    <row r="35" spans="1:5" x14ac:dyDescent="0.25">
      <c r="A35">
        <f t="shared" si="0"/>
        <v>34</v>
      </c>
      <c r="B35" t="s">
        <v>34</v>
      </c>
      <c r="C35" s="13">
        <v>43435</v>
      </c>
      <c r="D35" t="s">
        <v>36</v>
      </c>
      <c r="E35" s="9">
        <v>4.62</v>
      </c>
    </row>
    <row r="36" spans="1:5" x14ac:dyDescent="0.25">
      <c r="A36">
        <f t="shared" si="0"/>
        <v>35</v>
      </c>
      <c r="B36" t="s">
        <v>34</v>
      </c>
      <c r="C36" s="13">
        <v>43437</v>
      </c>
      <c r="D36" t="s">
        <v>36</v>
      </c>
      <c r="E36" s="9">
        <v>1.83</v>
      </c>
    </row>
    <row r="37" spans="1:5" x14ac:dyDescent="0.25">
      <c r="A37">
        <f t="shared" si="0"/>
        <v>36</v>
      </c>
      <c r="B37" t="s">
        <v>34</v>
      </c>
      <c r="C37" s="13">
        <v>43814</v>
      </c>
      <c r="D37">
        <v>1.79</v>
      </c>
      <c r="E37" s="9">
        <v>2.13</v>
      </c>
    </row>
    <row r="38" spans="1:5" x14ac:dyDescent="0.25">
      <c r="A38">
        <f t="shared" si="0"/>
        <v>37</v>
      </c>
      <c r="B38" t="s">
        <v>34</v>
      </c>
      <c r="C38" s="13">
        <v>43803</v>
      </c>
      <c r="D38">
        <v>5.34</v>
      </c>
      <c r="E38" s="9">
        <v>5.08</v>
      </c>
    </row>
    <row r="39" spans="1:5" x14ac:dyDescent="0.25">
      <c r="A39">
        <f t="shared" si="0"/>
        <v>38</v>
      </c>
      <c r="B39" t="s">
        <v>34</v>
      </c>
      <c r="C39" s="13">
        <v>43821</v>
      </c>
      <c r="D39">
        <v>1.74</v>
      </c>
      <c r="E39" s="9">
        <v>1.75</v>
      </c>
    </row>
    <row r="40" spans="1:5" x14ac:dyDescent="0.25">
      <c r="A40">
        <f t="shared" si="0"/>
        <v>39</v>
      </c>
      <c r="B40" t="s">
        <v>34</v>
      </c>
      <c r="C40" s="13">
        <v>43556</v>
      </c>
      <c r="D40" t="s">
        <v>36</v>
      </c>
      <c r="E40" s="9">
        <v>2.91</v>
      </c>
    </row>
    <row r="41" spans="1:5" x14ac:dyDescent="0.25">
      <c r="A41">
        <f t="shared" si="0"/>
        <v>40</v>
      </c>
      <c r="B41" t="s">
        <v>34</v>
      </c>
      <c r="C41" s="13">
        <v>43822</v>
      </c>
      <c r="D41">
        <v>1.88</v>
      </c>
      <c r="E41" s="9">
        <v>3.74</v>
      </c>
    </row>
    <row r="42" spans="1:5" x14ac:dyDescent="0.25">
      <c r="A42">
        <f t="shared" si="0"/>
        <v>41</v>
      </c>
      <c r="B42" t="s">
        <v>34</v>
      </c>
      <c r="C42" s="13">
        <v>43554</v>
      </c>
      <c r="D42" t="s">
        <v>36</v>
      </c>
      <c r="E42" s="9">
        <v>3.41</v>
      </c>
    </row>
    <row r="43" spans="1:5" x14ac:dyDescent="0.25">
      <c r="A43">
        <f t="shared" si="0"/>
        <v>42</v>
      </c>
      <c r="B43" t="s">
        <v>34</v>
      </c>
      <c r="C43" s="13">
        <v>43574</v>
      </c>
      <c r="D43" t="s">
        <v>36</v>
      </c>
      <c r="E43" s="9">
        <v>2.64</v>
      </c>
    </row>
    <row r="44" spans="1:5" x14ac:dyDescent="0.25">
      <c r="A44">
        <f t="shared" si="0"/>
        <v>43</v>
      </c>
      <c r="B44" t="s">
        <v>34</v>
      </c>
      <c r="C44" s="13">
        <v>43804</v>
      </c>
      <c r="D44" t="s">
        <v>36</v>
      </c>
      <c r="E44" s="9">
        <v>2.2599999999999998</v>
      </c>
    </row>
    <row r="45" spans="1:5" x14ac:dyDescent="0.25">
      <c r="A45">
        <f t="shared" si="0"/>
        <v>44</v>
      </c>
      <c r="B45" t="s">
        <v>34</v>
      </c>
      <c r="C45" s="13">
        <v>43686</v>
      </c>
      <c r="D45" t="s">
        <v>36</v>
      </c>
      <c r="E45" s="9">
        <v>1.96</v>
      </c>
    </row>
    <row r="46" spans="1:5" x14ac:dyDescent="0.25">
      <c r="A46">
        <f t="shared" si="0"/>
        <v>45</v>
      </c>
      <c r="B46" t="s">
        <v>34</v>
      </c>
      <c r="C46" s="14" t="s">
        <v>38</v>
      </c>
      <c r="D46" t="s">
        <v>36</v>
      </c>
      <c r="E46" s="9">
        <v>3.68</v>
      </c>
    </row>
    <row r="47" spans="1:5" x14ac:dyDescent="0.25">
      <c r="A47">
        <f t="shared" si="0"/>
        <v>46</v>
      </c>
      <c r="B47" t="s">
        <v>34</v>
      </c>
      <c r="C47" s="13">
        <v>43441</v>
      </c>
      <c r="D47" t="s">
        <v>36</v>
      </c>
    </row>
    <row r="48" spans="1:5" x14ac:dyDescent="0.25">
      <c r="A48">
        <f t="shared" si="0"/>
        <v>47</v>
      </c>
      <c r="B48" t="s">
        <v>34</v>
      </c>
      <c r="C48" s="13">
        <v>43440</v>
      </c>
      <c r="D48" t="s">
        <v>36</v>
      </c>
      <c r="E48" s="9">
        <v>3.45</v>
      </c>
    </row>
    <row r="49" spans="1:5" x14ac:dyDescent="0.25">
      <c r="A49">
        <f t="shared" si="0"/>
        <v>48</v>
      </c>
      <c r="B49" t="s">
        <v>34</v>
      </c>
      <c r="C49" s="13">
        <v>43448</v>
      </c>
      <c r="D49" t="s">
        <v>36</v>
      </c>
      <c r="E49" s="9">
        <v>1.82</v>
      </c>
    </row>
    <row r="50" spans="1:5" x14ac:dyDescent="0.25">
      <c r="A50">
        <f t="shared" si="0"/>
        <v>49</v>
      </c>
      <c r="B50" t="s">
        <v>34</v>
      </c>
      <c r="C50" s="13">
        <v>43455</v>
      </c>
      <c r="D50" t="s">
        <v>36</v>
      </c>
      <c r="E50" s="9">
        <v>4.09</v>
      </c>
    </row>
    <row r="51" spans="1:5" x14ac:dyDescent="0.25">
      <c r="A51">
        <f t="shared" si="0"/>
        <v>50</v>
      </c>
      <c r="B51" t="s">
        <v>34</v>
      </c>
      <c r="C51" s="13">
        <v>43433</v>
      </c>
      <c r="D51" t="s">
        <v>36</v>
      </c>
      <c r="E51" s="9">
        <v>2.73</v>
      </c>
    </row>
    <row r="52" spans="1:5" x14ac:dyDescent="0.25">
      <c r="A52">
        <f t="shared" si="0"/>
        <v>51</v>
      </c>
      <c r="B52" t="s">
        <v>34</v>
      </c>
      <c r="C52" s="13">
        <v>43668</v>
      </c>
      <c r="D52" t="s">
        <v>36</v>
      </c>
      <c r="E52" s="9">
        <v>2.74</v>
      </c>
    </row>
    <row r="53" spans="1:5" x14ac:dyDescent="0.25">
      <c r="A53">
        <f t="shared" si="0"/>
        <v>52</v>
      </c>
      <c r="B53" t="s">
        <v>34</v>
      </c>
      <c r="C53" s="13">
        <v>43631</v>
      </c>
      <c r="D53" t="s">
        <v>36</v>
      </c>
      <c r="E53" s="9">
        <v>2.91</v>
      </c>
    </row>
    <row r="54" spans="1:5" x14ac:dyDescent="0.25">
      <c r="A54">
        <f t="shared" si="0"/>
        <v>53</v>
      </c>
      <c r="B54" t="s">
        <v>34</v>
      </c>
      <c r="C54" s="13">
        <v>43649</v>
      </c>
      <c r="D54" t="s">
        <v>36</v>
      </c>
      <c r="E54" s="9">
        <v>2.75</v>
      </c>
    </row>
    <row r="55" spans="1:5" x14ac:dyDescent="0.25">
      <c r="A55">
        <f t="shared" si="0"/>
        <v>54</v>
      </c>
      <c r="B55" t="s">
        <v>34</v>
      </c>
      <c r="C55" s="13">
        <v>43622</v>
      </c>
      <c r="D55" t="s">
        <v>36</v>
      </c>
      <c r="E55" s="9">
        <v>4.55</v>
      </c>
    </row>
    <row r="56" spans="1:5" x14ac:dyDescent="0.25">
      <c r="A56">
        <f t="shared" si="0"/>
        <v>55</v>
      </c>
      <c r="B56" t="s">
        <v>34</v>
      </c>
      <c r="C56" s="13">
        <v>43642</v>
      </c>
      <c r="D56" t="s">
        <v>36</v>
      </c>
      <c r="E56" s="9">
        <v>4.09</v>
      </c>
    </row>
    <row r="57" spans="1:5" x14ac:dyDescent="0.25">
      <c r="A57">
        <f t="shared" si="0"/>
        <v>56</v>
      </c>
      <c r="B57" t="s">
        <v>34</v>
      </c>
      <c r="C57" s="13">
        <v>43633</v>
      </c>
      <c r="D57" t="s">
        <v>36</v>
      </c>
      <c r="E57" s="9">
        <v>1.0900000000000001</v>
      </c>
    </row>
    <row r="58" spans="1:5" x14ac:dyDescent="0.25">
      <c r="A58">
        <f t="shared" si="0"/>
        <v>57</v>
      </c>
      <c r="B58" t="s">
        <v>34</v>
      </c>
      <c r="C58" s="13">
        <v>43634</v>
      </c>
      <c r="D58" t="s">
        <v>36</v>
      </c>
      <c r="E58" s="9">
        <v>4.55</v>
      </c>
    </row>
    <row r="59" spans="1:5" x14ac:dyDescent="0.25">
      <c r="A59">
        <f t="shared" si="0"/>
        <v>58</v>
      </c>
      <c r="B59" t="s">
        <v>34</v>
      </c>
      <c r="C59" s="13">
        <v>43635</v>
      </c>
      <c r="D59" t="s">
        <v>36</v>
      </c>
      <c r="E59" s="9">
        <v>5.04</v>
      </c>
    </row>
    <row r="60" spans="1:5" x14ac:dyDescent="0.25">
      <c r="A60">
        <f t="shared" si="0"/>
        <v>59</v>
      </c>
      <c r="B60" t="s">
        <v>34</v>
      </c>
      <c r="C60" s="13">
        <v>43660</v>
      </c>
      <c r="D60" t="s">
        <v>36</v>
      </c>
      <c r="E60" s="9">
        <v>4.09</v>
      </c>
    </row>
    <row r="61" spans="1:5" x14ac:dyDescent="0.25">
      <c r="A61">
        <f t="shared" si="0"/>
        <v>60</v>
      </c>
      <c r="B61" t="s">
        <v>34</v>
      </c>
      <c r="C61" s="13">
        <v>43549</v>
      </c>
      <c r="D61" t="s">
        <v>36</v>
      </c>
      <c r="E61" s="9">
        <v>1.82</v>
      </c>
    </row>
    <row r="62" spans="1:5" x14ac:dyDescent="0.25">
      <c r="A62">
        <f t="shared" si="0"/>
        <v>61</v>
      </c>
      <c r="B62" t="s">
        <v>34</v>
      </c>
      <c r="C62" s="13">
        <v>43560</v>
      </c>
      <c r="D62" t="s">
        <v>36</v>
      </c>
      <c r="E62" s="9">
        <v>2.4</v>
      </c>
    </row>
    <row r="63" spans="1:5" x14ac:dyDescent="0.25">
      <c r="A63">
        <f t="shared" si="0"/>
        <v>62</v>
      </c>
      <c r="B63" t="s">
        <v>34</v>
      </c>
      <c r="C63" s="13">
        <v>43599</v>
      </c>
      <c r="D63" t="s">
        <v>36</v>
      </c>
      <c r="E63" s="9">
        <v>4.09</v>
      </c>
    </row>
    <row r="64" spans="1:5" x14ac:dyDescent="0.25">
      <c r="A64">
        <f t="shared" si="0"/>
        <v>63</v>
      </c>
      <c r="B64" t="s">
        <v>34</v>
      </c>
      <c r="C64" s="13">
        <v>43521</v>
      </c>
      <c r="D64" t="s">
        <v>36</v>
      </c>
      <c r="E64" s="9">
        <v>4.3</v>
      </c>
    </row>
    <row r="65" spans="1:5" x14ac:dyDescent="0.25">
      <c r="A65">
        <f t="shared" si="0"/>
        <v>64</v>
      </c>
      <c r="B65" t="s">
        <v>34</v>
      </c>
      <c r="C65" s="13">
        <v>43614</v>
      </c>
      <c r="D65" t="s">
        <v>36</v>
      </c>
      <c r="E65" s="9">
        <v>3.66</v>
      </c>
    </row>
    <row r="66" spans="1:5" x14ac:dyDescent="0.25">
      <c r="A66">
        <f t="shared" si="0"/>
        <v>65</v>
      </c>
      <c r="B66" t="s">
        <v>34</v>
      </c>
      <c r="C66" s="13">
        <v>43551</v>
      </c>
      <c r="D66" t="s">
        <v>36</v>
      </c>
      <c r="E66" s="9">
        <v>3.94</v>
      </c>
    </row>
    <row r="67" spans="1:5" x14ac:dyDescent="0.25">
      <c r="A67">
        <f t="shared" si="0"/>
        <v>66</v>
      </c>
      <c r="B67" t="s">
        <v>34</v>
      </c>
      <c r="C67" s="13">
        <v>43452</v>
      </c>
      <c r="D67" t="s">
        <v>36</v>
      </c>
      <c r="E67" s="9">
        <v>4.7300000000000004</v>
      </c>
    </row>
    <row r="68" spans="1:5" x14ac:dyDescent="0.25">
      <c r="A68">
        <f t="shared" ref="A68:A131" si="1">A67+1</f>
        <v>67</v>
      </c>
      <c r="B68" t="s">
        <v>34</v>
      </c>
      <c r="C68" s="13">
        <v>43629</v>
      </c>
      <c r="D68" t="s">
        <v>36</v>
      </c>
      <c r="E68" s="9">
        <v>0.91</v>
      </c>
    </row>
    <row r="69" spans="1:5" x14ac:dyDescent="0.25">
      <c r="A69">
        <f t="shared" si="1"/>
        <v>68</v>
      </c>
      <c r="B69" t="s">
        <v>34</v>
      </c>
      <c r="C69" s="13">
        <v>43790</v>
      </c>
      <c r="D69" t="s">
        <v>36</v>
      </c>
      <c r="E69" s="9">
        <v>4.37</v>
      </c>
    </row>
    <row r="70" spans="1:5" x14ac:dyDescent="0.25">
      <c r="A70">
        <f t="shared" si="1"/>
        <v>69</v>
      </c>
      <c r="B70" t="s">
        <v>34</v>
      </c>
      <c r="C70" s="13">
        <v>43416</v>
      </c>
      <c r="D70" t="s">
        <v>36</v>
      </c>
      <c r="E70" s="9">
        <v>4.54</v>
      </c>
    </row>
    <row r="71" spans="1:5" x14ac:dyDescent="0.25">
      <c r="A71">
        <f t="shared" si="1"/>
        <v>70</v>
      </c>
      <c r="B71" t="s">
        <v>34</v>
      </c>
      <c r="C71" s="13">
        <v>43785</v>
      </c>
      <c r="D71" t="s">
        <v>36</v>
      </c>
      <c r="E71" s="9">
        <v>1.82</v>
      </c>
    </row>
    <row r="72" spans="1:5" x14ac:dyDescent="0.25">
      <c r="A72">
        <f t="shared" si="1"/>
        <v>71</v>
      </c>
      <c r="B72" t="s">
        <v>34</v>
      </c>
      <c r="C72" s="13">
        <v>43612</v>
      </c>
      <c r="D72" t="s">
        <v>36</v>
      </c>
      <c r="E72" s="9">
        <v>4.55</v>
      </c>
    </row>
    <row r="73" spans="1:5" x14ac:dyDescent="0.25">
      <c r="A73">
        <f t="shared" si="1"/>
        <v>72</v>
      </c>
      <c r="B73" t="s">
        <v>34</v>
      </c>
      <c r="C73" s="13">
        <v>43837</v>
      </c>
      <c r="D73">
        <v>1.68</v>
      </c>
      <c r="E73" s="9">
        <v>3.14</v>
      </c>
    </row>
    <row r="74" spans="1:5" x14ac:dyDescent="0.25">
      <c r="A74">
        <f t="shared" si="1"/>
        <v>73</v>
      </c>
      <c r="B74" t="s">
        <v>34</v>
      </c>
      <c r="C74" s="13">
        <v>43831</v>
      </c>
      <c r="D74">
        <v>4.4800000000000004</v>
      </c>
      <c r="E74" s="9">
        <v>3.99</v>
      </c>
    </row>
    <row r="75" spans="1:5" x14ac:dyDescent="0.25">
      <c r="A75">
        <f t="shared" si="1"/>
        <v>74</v>
      </c>
      <c r="B75" t="s">
        <v>34</v>
      </c>
      <c r="C75" s="13">
        <v>43819</v>
      </c>
      <c r="D75">
        <v>2.5</v>
      </c>
      <c r="E75" s="9">
        <v>2.3199999999999998</v>
      </c>
    </row>
    <row r="76" spans="1:5" x14ac:dyDescent="0.25">
      <c r="A76">
        <f t="shared" si="1"/>
        <v>75</v>
      </c>
      <c r="B76" t="s">
        <v>34</v>
      </c>
      <c r="C76" s="13">
        <v>43795</v>
      </c>
      <c r="D76">
        <v>5.27</v>
      </c>
      <c r="E76" s="9">
        <v>5.89</v>
      </c>
    </row>
    <row r="77" spans="1:5" x14ac:dyDescent="0.25">
      <c r="A77">
        <f t="shared" si="1"/>
        <v>76</v>
      </c>
      <c r="B77" t="s">
        <v>34</v>
      </c>
      <c r="C77" s="13">
        <v>43806</v>
      </c>
      <c r="D77">
        <v>2.35</v>
      </c>
      <c r="E77" s="9">
        <v>2.06</v>
      </c>
    </row>
    <row r="78" spans="1:5" x14ac:dyDescent="0.25">
      <c r="A78">
        <f t="shared" si="1"/>
        <v>77</v>
      </c>
      <c r="B78" t="s">
        <v>34</v>
      </c>
      <c r="C78" s="13">
        <v>43833</v>
      </c>
      <c r="D78" t="s">
        <v>36</v>
      </c>
      <c r="E78" s="9">
        <v>2.2000000000000002</v>
      </c>
    </row>
    <row r="79" spans="1:5" x14ac:dyDescent="0.25">
      <c r="A79">
        <f t="shared" si="1"/>
        <v>78</v>
      </c>
      <c r="B79" t="s">
        <v>34</v>
      </c>
      <c r="C79" s="13">
        <v>43723</v>
      </c>
      <c r="D79" t="s">
        <v>36</v>
      </c>
      <c r="E79" s="9">
        <v>3.64</v>
      </c>
    </row>
    <row r="80" spans="1:5" x14ac:dyDescent="0.25">
      <c r="A80">
        <f t="shared" si="1"/>
        <v>79</v>
      </c>
      <c r="B80" t="s">
        <v>34</v>
      </c>
      <c r="C80" s="13">
        <v>43835</v>
      </c>
      <c r="D80">
        <v>2.37</v>
      </c>
      <c r="E80" s="9">
        <v>2.11</v>
      </c>
    </row>
    <row r="81" spans="1:6" x14ac:dyDescent="0.25">
      <c r="A81">
        <f t="shared" si="1"/>
        <v>80</v>
      </c>
      <c r="B81" t="s">
        <v>34</v>
      </c>
      <c r="C81" s="13">
        <v>43842</v>
      </c>
      <c r="D81" t="s">
        <v>36</v>
      </c>
      <c r="E81" s="9">
        <v>3.19</v>
      </c>
    </row>
    <row r="82" spans="1:6" x14ac:dyDescent="0.25">
      <c r="A82">
        <f t="shared" si="1"/>
        <v>81</v>
      </c>
      <c r="B82" t="s">
        <v>34</v>
      </c>
      <c r="C82" s="13">
        <v>43856</v>
      </c>
      <c r="D82">
        <v>5.93</v>
      </c>
      <c r="E82" s="9">
        <v>5.38</v>
      </c>
    </row>
    <row r="83" spans="1:6" x14ac:dyDescent="0.25">
      <c r="A83">
        <f t="shared" si="1"/>
        <v>82</v>
      </c>
      <c r="B83" t="s">
        <v>34</v>
      </c>
      <c r="C83" s="13">
        <v>43859</v>
      </c>
      <c r="D83">
        <v>6.25</v>
      </c>
      <c r="E83" s="9">
        <v>5.48</v>
      </c>
    </row>
    <row r="84" spans="1:6" x14ac:dyDescent="0.25">
      <c r="A84">
        <f t="shared" si="1"/>
        <v>83</v>
      </c>
      <c r="B84" t="s">
        <v>34</v>
      </c>
      <c r="C84" s="13">
        <v>43798</v>
      </c>
      <c r="D84">
        <v>1.66</v>
      </c>
      <c r="E84" s="9">
        <v>1.67</v>
      </c>
    </row>
    <row r="85" spans="1:6" x14ac:dyDescent="0.25">
      <c r="A85">
        <f t="shared" si="1"/>
        <v>84</v>
      </c>
      <c r="B85" t="s">
        <v>34</v>
      </c>
      <c r="C85" s="13">
        <v>43406</v>
      </c>
      <c r="D85" t="s">
        <v>36</v>
      </c>
      <c r="E85" s="9">
        <v>1.37</v>
      </c>
    </row>
    <row r="86" spans="1:6" x14ac:dyDescent="0.25">
      <c r="A86">
        <f t="shared" si="1"/>
        <v>85</v>
      </c>
      <c r="B86" t="s">
        <v>34</v>
      </c>
      <c r="C86" s="13">
        <v>43406</v>
      </c>
      <c r="D86" t="s">
        <v>36</v>
      </c>
      <c r="E86" s="9">
        <v>1.38</v>
      </c>
    </row>
    <row r="87" spans="1:6" x14ac:dyDescent="0.25">
      <c r="A87">
        <f t="shared" si="1"/>
        <v>86</v>
      </c>
      <c r="B87" t="s">
        <v>34</v>
      </c>
      <c r="C87" s="13">
        <v>43480</v>
      </c>
      <c r="D87" t="s">
        <v>36</v>
      </c>
      <c r="E87" s="9">
        <v>3.64</v>
      </c>
    </row>
    <row r="88" spans="1:6" x14ac:dyDescent="0.25">
      <c r="A88">
        <f t="shared" si="1"/>
        <v>87</v>
      </c>
      <c r="B88" t="s">
        <v>34</v>
      </c>
      <c r="C88" s="13">
        <v>43657</v>
      </c>
      <c r="D88" t="s">
        <v>36</v>
      </c>
      <c r="E88" s="9">
        <v>4.09</v>
      </c>
    </row>
    <row r="89" spans="1:6" x14ac:dyDescent="0.25">
      <c r="A89">
        <f t="shared" si="1"/>
        <v>88</v>
      </c>
      <c r="B89" t="s">
        <v>34</v>
      </c>
      <c r="C89" s="13">
        <v>43596</v>
      </c>
      <c r="D89" t="s">
        <v>36</v>
      </c>
      <c r="E89" s="9">
        <v>4.09</v>
      </c>
    </row>
    <row r="90" spans="1:6" x14ac:dyDescent="0.25">
      <c r="A90">
        <f t="shared" si="1"/>
        <v>89</v>
      </c>
      <c r="B90" t="s">
        <v>34</v>
      </c>
      <c r="C90" s="13">
        <v>43581</v>
      </c>
      <c r="D90" t="s">
        <v>36</v>
      </c>
      <c r="E90" s="9">
        <v>4.55</v>
      </c>
    </row>
    <row r="91" spans="1:6" x14ac:dyDescent="0.25">
      <c r="A91">
        <f t="shared" si="1"/>
        <v>90</v>
      </c>
      <c r="B91" t="s">
        <v>34</v>
      </c>
      <c r="C91" s="13">
        <v>43593</v>
      </c>
      <c r="D91" t="s">
        <v>36</v>
      </c>
      <c r="E91" s="9">
        <v>2.5499999999999998</v>
      </c>
    </row>
    <row r="92" spans="1:6" x14ac:dyDescent="0.25">
      <c r="A92">
        <f t="shared" si="1"/>
        <v>91</v>
      </c>
      <c r="B92" t="s">
        <v>34</v>
      </c>
      <c r="C92" s="13">
        <v>43563</v>
      </c>
      <c r="D92" t="s">
        <v>36</v>
      </c>
      <c r="E92" s="9">
        <v>3.05</v>
      </c>
    </row>
    <row r="93" spans="1:6" x14ac:dyDescent="0.25">
      <c r="A93">
        <f t="shared" si="1"/>
        <v>92</v>
      </c>
      <c r="B93" t="s">
        <v>34</v>
      </c>
      <c r="C93" s="13">
        <v>43604</v>
      </c>
      <c r="D93" t="s">
        <v>36</v>
      </c>
      <c r="E93" s="9">
        <v>4.55</v>
      </c>
    </row>
    <row r="94" spans="1:6" x14ac:dyDescent="0.25">
      <c r="A94">
        <f t="shared" si="1"/>
        <v>93</v>
      </c>
      <c r="B94" t="s">
        <v>34</v>
      </c>
      <c r="C94" s="13">
        <v>43547</v>
      </c>
      <c r="D94" t="s">
        <v>36</v>
      </c>
      <c r="E94" s="9">
        <v>3.18</v>
      </c>
    </row>
    <row r="95" spans="1:6" x14ac:dyDescent="0.25">
      <c r="A95">
        <f t="shared" si="1"/>
        <v>94</v>
      </c>
      <c r="B95" t="s">
        <v>34</v>
      </c>
      <c r="C95" s="13">
        <v>43559</v>
      </c>
      <c r="D95" t="s">
        <v>36</v>
      </c>
      <c r="E95" s="9">
        <v>2.88</v>
      </c>
      <c r="F95" t="s">
        <v>39</v>
      </c>
    </row>
    <row r="96" spans="1:6" x14ac:dyDescent="0.25">
      <c r="A96">
        <f t="shared" si="1"/>
        <v>95</v>
      </c>
      <c r="B96" t="s">
        <v>34</v>
      </c>
      <c r="C96" s="13">
        <v>43541</v>
      </c>
      <c r="D96" t="s">
        <v>36</v>
      </c>
      <c r="E96" s="9">
        <v>4.55</v>
      </c>
    </row>
    <row r="97" spans="1:5" x14ac:dyDescent="0.25">
      <c r="A97">
        <f t="shared" si="1"/>
        <v>96</v>
      </c>
      <c r="B97" t="s">
        <v>34</v>
      </c>
      <c r="C97" s="13">
        <v>43593</v>
      </c>
      <c r="D97" t="s">
        <v>36</v>
      </c>
      <c r="E97" s="9">
        <v>1.82</v>
      </c>
    </row>
    <row r="98" spans="1:5" x14ac:dyDescent="0.25">
      <c r="A98">
        <f t="shared" si="1"/>
        <v>97</v>
      </c>
      <c r="B98" t="s">
        <v>34</v>
      </c>
      <c r="C98" s="13">
        <v>43627</v>
      </c>
      <c r="D98" t="s">
        <v>36</v>
      </c>
      <c r="E98" s="9">
        <v>4.55</v>
      </c>
    </row>
    <row r="99" spans="1:5" x14ac:dyDescent="0.25">
      <c r="A99">
        <f t="shared" si="1"/>
        <v>98</v>
      </c>
      <c r="B99" t="s">
        <v>34</v>
      </c>
      <c r="C99" s="13">
        <v>43518</v>
      </c>
      <c r="D99" t="s">
        <v>36</v>
      </c>
      <c r="E99" s="9">
        <v>1.82</v>
      </c>
    </row>
    <row r="100" spans="1:5" x14ac:dyDescent="0.25">
      <c r="A100">
        <f t="shared" si="1"/>
        <v>99</v>
      </c>
      <c r="B100" t="s">
        <v>34</v>
      </c>
      <c r="C100" s="13">
        <v>43651</v>
      </c>
      <c r="D100" t="s">
        <v>36</v>
      </c>
      <c r="E100" s="9">
        <v>2.27</v>
      </c>
    </row>
    <row r="101" spans="1:5" x14ac:dyDescent="0.25">
      <c r="A101">
        <f t="shared" si="1"/>
        <v>100</v>
      </c>
      <c r="B101" t="s">
        <v>34</v>
      </c>
      <c r="C101" s="13">
        <v>43687</v>
      </c>
      <c r="D101" t="s">
        <v>36</v>
      </c>
      <c r="E101" s="9">
        <v>1.73</v>
      </c>
    </row>
    <row r="102" spans="1:5" x14ac:dyDescent="0.25">
      <c r="A102">
        <f t="shared" si="1"/>
        <v>101</v>
      </c>
      <c r="B102" t="s">
        <v>34</v>
      </c>
      <c r="C102" s="13">
        <v>43680</v>
      </c>
      <c r="D102" t="s">
        <v>36</v>
      </c>
      <c r="E102" s="9">
        <v>4.55</v>
      </c>
    </row>
    <row r="103" spans="1:5" x14ac:dyDescent="0.25">
      <c r="A103">
        <f t="shared" si="1"/>
        <v>102</v>
      </c>
      <c r="B103" t="s">
        <v>34</v>
      </c>
      <c r="C103" s="13">
        <v>43580</v>
      </c>
      <c r="D103" t="s">
        <v>36</v>
      </c>
      <c r="E103" s="9">
        <v>1.82</v>
      </c>
    </row>
    <row r="104" spans="1:5" x14ac:dyDescent="0.25">
      <c r="A104">
        <f t="shared" si="1"/>
        <v>103</v>
      </c>
      <c r="B104" t="s">
        <v>34</v>
      </c>
      <c r="C104" s="13">
        <v>43682</v>
      </c>
      <c r="D104" t="s">
        <v>36</v>
      </c>
      <c r="E104" s="9">
        <v>2.73</v>
      </c>
    </row>
    <row r="105" spans="1:5" x14ac:dyDescent="0.25">
      <c r="A105">
        <f t="shared" si="1"/>
        <v>104</v>
      </c>
      <c r="B105" t="s">
        <v>34</v>
      </c>
      <c r="C105" s="13">
        <v>43645</v>
      </c>
      <c r="D105" t="s">
        <v>36</v>
      </c>
      <c r="E105" s="9">
        <v>4.09</v>
      </c>
    </row>
    <row r="106" spans="1:5" x14ac:dyDescent="0.25">
      <c r="A106">
        <f t="shared" si="1"/>
        <v>105</v>
      </c>
      <c r="B106" t="s">
        <v>34</v>
      </c>
      <c r="C106" s="13">
        <v>43500</v>
      </c>
      <c r="D106" t="s">
        <v>36</v>
      </c>
      <c r="E106" s="9">
        <v>4.3600000000000003</v>
      </c>
    </row>
    <row r="107" spans="1:5" x14ac:dyDescent="0.25">
      <c r="A107">
        <f t="shared" si="1"/>
        <v>106</v>
      </c>
      <c r="B107" t="s">
        <v>34</v>
      </c>
      <c r="C107" s="13">
        <v>43653</v>
      </c>
      <c r="D107" t="s">
        <v>36</v>
      </c>
      <c r="E107" s="9">
        <v>3.64</v>
      </c>
    </row>
    <row r="108" spans="1:5" x14ac:dyDescent="0.25">
      <c r="A108">
        <f t="shared" si="1"/>
        <v>107</v>
      </c>
      <c r="B108" t="s">
        <v>34</v>
      </c>
      <c r="C108" s="13">
        <v>43528</v>
      </c>
      <c r="D108" t="s">
        <v>36</v>
      </c>
      <c r="E108" s="9">
        <v>1.36</v>
      </c>
    </row>
    <row r="109" spans="1:5" x14ac:dyDescent="0.25">
      <c r="A109">
        <f t="shared" si="1"/>
        <v>108</v>
      </c>
      <c r="B109" t="s">
        <v>34</v>
      </c>
      <c r="C109" s="13">
        <v>43491</v>
      </c>
      <c r="D109" t="s">
        <v>36</v>
      </c>
      <c r="E109" s="9">
        <v>3.73</v>
      </c>
    </row>
    <row r="110" spans="1:5" x14ac:dyDescent="0.25">
      <c r="A110">
        <f t="shared" si="1"/>
        <v>109</v>
      </c>
      <c r="B110" t="s">
        <v>34</v>
      </c>
      <c r="C110" s="13">
        <v>43372</v>
      </c>
      <c r="D110" t="s">
        <v>36</v>
      </c>
      <c r="E110" s="9">
        <v>1.37</v>
      </c>
    </row>
    <row r="111" spans="1:5" x14ac:dyDescent="0.25">
      <c r="A111">
        <f t="shared" si="1"/>
        <v>110</v>
      </c>
      <c r="B111" t="s">
        <v>34</v>
      </c>
      <c r="C111" s="13">
        <v>43404</v>
      </c>
      <c r="D111" t="s">
        <v>36</v>
      </c>
      <c r="E111" s="9">
        <v>6.36</v>
      </c>
    </row>
    <row r="112" spans="1:5" x14ac:dyDescent="0.25">
      <c r="A112">
        <f t="shared" si="1"/>
        <v>111</v>
      </c>
      <c r="B112" t="s">
        <v>34</v>
      </c>
      <c r="C112" s="13">
        <v>43685</v>
      </c>
      <c r="D112" t="s">
        <v>36</v>
      </c>
      <c r="E112" s="9">
        <v>2.75</v>
      </c>
    </row>
    <row r="113" spans="1:5" x14ac:dyDescent="0.25">
      <c r="A113">
        <f t="shared" si="1"/>
        <v>112</v>
      </c>
      <c r="B113" t="s">
        <v>34</v>
      </c>
      <c r="C113" s="13">
        <v>43366</v>
      </c>
      <c r="D113" t="s">
        <v>36</v>
      </c>
      <c r="E113" s="9">
        <v>3.64</v>
      </c>
    </row>
    <row r="114" spans="1:5" x14ac:dyDescent="0.25">
      <c r="A114">
        <f t="shared" si="1"/>
        <v>113</v>
      </c>
      <c r="B114" t="s">
        <v>34</v>
      </c>
      <c r="C114" s="13">
        <v>43367</v>
      </c>
      <c r="D114" t="s">
        <v>36</v>
      </c>
      <c r="E114" s="9">
        <v>1.33</v>
      </c>
    </row>
    <row r="115" spans="1:5" x14ac:dyDescent="0.25">
      <c r="A115">
        <f t="shared" si="1"/>
        <v>114</v>
      </c>
      <c r="B115" t="s">
        <v>34</v>
      </c>
      <c r="C115" s="13">
        <v>43365</v>
      </c>
      <c r="D115" t="s">
        <v>36</v>
      </c>
      <c r="E115" s="9">
        <v>15.03</v>
      </c>
    </row>
    <row r="116" spans="1:5" x14ac:dyDescent="0.25">
      <c r="A116">
        <f t="shared" si="1"/>
        <v>115</v>
      </c>
      <c r="B116" t="s">
        <v>34</v>
      </c>
      <c r="C116" s="13">
        <v>43402</v>
      </c>
      <c r="D116" t="s">
        <v>36</v>
      </c>
      <c r="E116" s="9">
        <v>1.82</v>
      </c>
    </row>
    <row r="117" spans="1:5" x14ac:dyDescent="0.25">
      <c r="A117">
        <f t="shared" si="1"/>
        <v>116</v>
      </c>
      <c r="B117" t="s">
        <v>34</v>
      </c>
      <c r="C117" s="13">
        <v>43412</v>
      </c>
      <c r="D117" t="s">
        <v>36</v>
      </c>
      <c r="E117" s="9">
        <v>3.64</v>
      </c>
    </row>
    <row r="118" spans="1:5" x14ac:dyDescent="0.25">
      <c r="A118">
        <f t="shared" si="1"/>
        <v>117</v>
      </c>
      <c r="B118" t="s">
        <v>34</v>
      </c>
      <c r="C118" s="13">
        <v>43423</v>
      </c>
      <c r="D118" t="s">
        <v>36</v>
      </c>
      <c r="E118" s="9">
        <v>4.7699999999999996</v>
      </c>
    </row>
    <row r="119" spans="1:5" x14ac:dyDescent="0.25">
      <c r="A119">
        <f t="shared" si="1"/>
        <v>118</v>
      </c>
      <c r="B119" t="s">
        <v>34</v>
      </c>
      <c r="C119" s="13">
        <v>43437</v>
      </c>
      <c r="D119" t="s">
        <v>36</v>
      </c>
      <c r="E119" s="9">
        <v>3.54</v>
      </c>
    </row>
    <row r="120" spans="1:5" x14ac:dyDescent="0.25">
      <c r="A120">
        <f t="shared" si="1"/>
        <v>119</v>
      </c>
      <c r="B120" t="s">
        <v>34</v>
      </c>
      <c r="C120" s="13">
        <v>43430</v>
      </c>
      <c r="D120" t="s">
        <v>36</v>
      </c>
      <c r="E120" s="9">
        <v>2.98</v>
      </c>
    </row>
    <row r="121" spans="1:5" x14ac:dyDescent="0.25">
      <c r="A121">
        <f t="shared" si="1"/>
        <v>120</v>
      </c>
      <c r="B121" t="s">
        <v>34</v>
      </c>
      <c r="C121" s="13">
        <v>43516</v>
      </c>
      <c r="D121" t="s">
        <v>36</v>
      </c>
      <c r="E121" s="9">
        <v>4.5</v>
      </c>
    </row>
    <row r="122" spans="1:5" x14ac:dyDescent="0.25">
      <c r="A122">
        <f t="shared" si="1"/>
        <v>121</v>
      </c>
      <c r="B122" t="s">
        <v>34</v>
      </c>
      <c r="C122" s="13">
        <v>43572</v>
      </c>
      <c r="D122" t="s">
        <v>36</v>
      </c>
      <c r="E122" s="9">
        <v>4.55</v>
      </c>
    </row>
    <row r="123" spans="1:5" x14ac:dyDescent="0.25">
      <c r="A123">
        <f t="shared" si="1"/>
        <v>122</v>
      </c>
      <c r="B123" t="s">
        <v>34</v>
      </c>
      <c r="C123" s="13">
        <v>43419</v>
      </c>
      <c r="D123" t="s">
        <v>36</v>
      </c>
      <c r="E123" s="9">
        <v>2.5099999999999998</v>
      </c>
    </row>
    <row r="124" spans="1:5" x14ac:dyDescent="0.25">
      <c r="A124">
        <f t="shared" si="1"/>
        <v>123</v>
      </c>
      <c r="B124" t="s">
        <v>34</v>
      </c>
      <c r="C124" s="13">
        <v>43414</v>
      </c>
      <c r="D124" t="s">
        <v>36</v>
      </c>
      <c r="E124" s="9">
        <v>4.09</v>
      </c>
    </row>
    <row r="125" spans="1:5" x14ac:dyDescent="0.25">
      <c r="A125">
        <f t="shared" si="1"/>
        <v>124</v>
      </c>
      <c r="B125" t="s">
        <v>34</v>
      </c>
      <c r="C125" s="13">
        <v>43486</v>
      </c>
      <c r="D125" t="s">
        <v>36</v>
      </c>
      <c r="E125" s="9">
        <v>2.73</v>
      </c>
    </row>
    <row r="126" spans="1:5" x14ac:dyDescent="0.25">
      <c r="A126">
        <f t="shared" si="1"/>
        <v>125</v>
      </c>
      <c r="B126" t="s">
        <v>34</v>
      </c>
      <c r="C126" s="13">
        <v>43375</v>
      </c>
      <c r="D126" t="s">
        <v>36</v>
      </c>
      <c r="E126" s="9">
        <v>1.36</v>
      </c>
    </row>
    <row r="127" spans="1:5" x14ac:dyDescent="0.25">
      <c r="A127">
        <f t="shared" si="1"/>
        <v>126</v>
      </c>
      <c r="B127" t="s">
        <v>34</v>
      </c>
      <c r="C127" s="13">
        <v>43391</v>
      </c>
      <c r="D127" t="s">
        <v>36</v>
      </c>
      <c r="E127" s="9">
        <v>4.55</v>
      </c>
    </row>
    <row r="128" spans="1:5" x14ac:dyDescent="0.25">
      <c r="A128">
        <f t="shared" si="1"/>
        <v>127</v>
      </c>
      <c r="B128" t="s">
        <v>34</v>
      </c>
      <c r="C128" s="13">
        <v>43457</v>
      </c>
      <c r="D128" t="s">
        <v>36</v>
      </c>
      <c r="E128" s="9">
        <v>3.36</v>
      </c>
    </row>
    <row r="129" spans="1:5" x14ac:dyDescent="0.25">
      <c r="A129">
        <f t="shared" si="1"/>
        <v>128</v>
      </c>
      <c r="B129" t="s">
        <v>34</v>
      </c>
      <c r="C129" s="13">
        <v>43603</v>
      </c>
      <c r="D129" t="s">
        <v>36</v>
      </c>
      <c r="E129" s="9">
        <v>1.37</v>
      </c>
    </row>
    <row r="130" spans="1:5" x14ac:dyDescent="0.25">
      <c r="A130">
        <f t="shared" si="1"/>
        <v>129</v>
      </c>
      <c r="B130" t="s">
        <v>34</v>
      </c>
      <c r="C130" s="13">
        <v>43434</v>
      </c>
      <c r="D130" t="s">
        <v>36</v>
      </c>
      <c r="E130" s="9">
        <v>1.36</v>
      </c>
    </row>
    <row r="131" spans="1:5" x14ac:dyDescent="0.25">
      <c r="A131">
        <f t="shared" si="1"/>
        <v>130</v>
      </c>
      <c r="B131" t="s">
        <v>34</v>
      </c>
      <c r="C131" s="13">
        <v>43364</v>
      </c>
      <c r="D131" t="s">
        <v>36</v>
      </c>
      <c r="E131" s="9">
        <v>0.91</v>
      </c>
    </row>
    <row r="132" spans="1:5" x14ac:dyDescent="0.25">
      <c r="A132">
        <f t="shared" ref="A132:A139" si="2">A131+1</f>
        <v>131</v>
      </c>
      <c r="B132" t="s">
        <v>34</v>
      </c>
      <c r="C132" s="13">
        <v>43368</v>
      </c>
      <c r="D132" t="s">
        <v>36</v>
      </c>
      <c r="E132" s="9">
        <v>1.33</v>
      </c>
    </row>
    <row r="133" spans="1:5" x14ac:dyDescent="0.25">
      <c r="A133">
        <f t="shared" si="2"/>
        <v>132</v>
      </c>
      <c r="B133" t="s">
        <v>34</v>
      </c>
      <c r="C133" s="13">
        <v>43866</v>
      </c>
      <c r="D133">
        <v>3.5</v>
      </c>
      <c r="E133" s="9">
        <v>4.67</v>
      </c>
    </row>
    <row r="134" spans="1:5" x14ac:dyDescent="0.25">
      <c r="A134">
        <f t="shared" si="2"/>
        <v>133</v>
      </c>
      <c r="B134" t="s">
        <v>34</v>
      </c>
      <c r="C134" s="13">
        <v>43865</v>
      </c>
      <c r="D134">
        <v>3.76</v>
      </c>
      <c r="E134" s="9">
        <v>3.3</v>
      </c>
    </row>
    <row r="135" spans="1:5" x14ac:dyDescent="0.25">
      <c r="A135">
        <f t="shared" si="2"/>
        <v>134</v>
      </c>
    </row>
    <row r="136" spans="1:5" x14ac:dyDescent="0.25">
      <c r="A136">
        <f t="shared" si="2"/>
        <v>135</v>
      </c>
    </row>
    <row r="137" spans="1:5" x14ac:dyDescent="0.25">
      <c r="A137">
        <f t="shared" si="2"/>
        <v>136</v>
      </c>
    </row>
    <row r="138" spans="1:5" x14ac:dyDescent="0.25">
      <c r="A138">
        <f t="shared" si="2"/>
        <v>137</v>
      </c>
    </row>
    <row r="139" spans="1:5" x14ac:dyDescent="0.25">
      <c r="A139">
        <f t="shared" si="2"/>
        <v>138</v>
      </c>
    </row>
  </sheetData>
  <dataValidations count="3">
    <dataValidation type="list" allowBlank="1" showInputMessage="1" showErrorMessage="1" sqref="G135:G139" xr:uid="{3BCD9B90-C779-41D0-8E28-79A04DE63A10}">
      <formula1>PetrolStation</formula1>
    </dataValidation>
    <dataValidation type="list" allowBlank="1" showInputMessage="1" showErrorMessage="1" sqref="B2:B134" xr:uid="{ACDC1A49-2E85-4DA8-AEFA-F06A8C12C70B}">
      <formula1>RideshareName</formula1>
    </dataValidation>
    <dataValidation type="list" allowBlank="1" showInputMessage="1" showErrorMessage="1" sqref="G2:G134" xr:uid="{11153AED-8023-43B1-8AB2-15C8C1963DA2}">
      <formula1>BankAccount</formula1>
    </dataValidation>
  </dataValidations>
  <pageMargins left="0.7" right="0.7" top="0.75" bottom="0.75" header="0.3" footer="0.3"/>
  <pageSetup paperSize="9" orientation="portrait" horizontalDpi="4294967293"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564A4-A4F7-4740-A9C0-58B19CD46FFD}">
  <dimension ref="A1:G139"/>
  <sheetViews>
    <sheetView workbookViewId="0">
      <selection activeCell="G47" sqref="G47"/>
    </sheetView>
  </sheetViews>
  <sheetFormatPr defaultRowHeight="15" x14ac:dyDescent="0.25"/>
  <cols>
    <col min="3" max="3" width="19.5703125" style="13" customWidth="1"/>
    <col min="4" max="4" width="13.7109375" customWidth="1"/>
    <col min="5" max="5" width="11" customWidth="1"/>
    <col min="7" max="7" width="13" customWidth="1"/>
  </cols>
  <sheetData>
    <row r="1" spans="1:7" ht="21.75" customHeight="1" x14ac:dyDescent="0.25">
      <c r="A1" s="11" t="s">
        <v>11</v>
      </c>
      <c r="B1" s="8" t="s">
        <v>31</v>
      </c>
      <c r="C1" s="12" t="s">
        <v>32</v>
      </c>
      <c r="D1" s="11" t="s">
        <v>45</v>
      </c>
      <c r="E1" s="8" t="s">
        <v>33</v>
      </c>
      <c r="F1" s="11" t="s">
        <v>16</v>
      </c>
      <c r="G1" s="11" t="s">
        <v>47</v>
      </c>
    </row>
    <row r="2" spans="1:7" x14ac:dyDescent="0.25">
      <c r="A2">
        <v>1</v>
      </c>
      <c r="B2" t="s">
        <v>34</v>
      </c>
      <c r="C2" s="13">
        <v>43744</v>
      </c>
      <c r="D2">
        <v>1.78</v>
      </c>
      <c r="E2" s="9">
        <v>3.02</v>
      </c>
    </row>
    <row r="3" spans="1:7" x14ac:dyDescent="0.25">
      <c r="A3">
        <f>A2+1</f>
        <v>2</v>
      </c>
      <c r="B3" t="s">
        <v>34</v>
      </c>
      <c r="C3" s="15">
        <v>43508</v>
      </c>
      <c r="D3">
        <v>1.89</v>
      </c>
      <c r="E3" s="9">
        <v>2.1</v>
      </c>
    </row>
    <row r="4" spans="1:7" x14ac:dyDescent="0.25">
      <c r="A4">
        <f t="shared" ref="A4:A67" si="0">A3+1</f>
        <v>3</v>
      </c>
      <c r="B4" t="s">
        <v>34</v>
      </c>
      <c r="C4" s="13">
        <v>43788</v>
      </c>
      <c r="D4">
        <v>4.41</v>
      </c>
      <c r="E4" s="9">
        <v>3.73</v>
      </c>
    </row>
    <row r="5" spans="1:7" x14ac:dyDescent="0.25">
      <c r="A5">
        <f t="shared" si="0"/>
        <v>4</v>
      </c>
      <c r="B5" t="s">
        <v>34</v>
      </c>
      <c r="C5" s="13">
        <v>43509</v>
      </c>
      <c r="D5" t="s">
        <v>35</v>
      </c>
      <c r="E5" s="9">
        <v>3.18</v>
      </c>
    </row>
    <row r="6" spans="1:7" x14ac:dyDescent="0.25">
      <c r="A6">
        <f t="shared" si="0"/>
        <v>5</v>
      </c>
      <c r="B6" t="s">
        <v>34</v>
      </c>
      <c r="C6" s="13">
        <v>43717</v>
      </c>
      <c r="D6" t="s">
        <v>35</v>
      </c>
      <c r="E6" s="9">
        <v>3.64</v>
      </c>
    </row>
    <row r="7" spans="1:7" x14ac:dyDescent="0.25">
      <c r="A7">
        <f t="shared" si="0"/>
        <v>6</v>
      </c>
      <c r="B7" t="s">
        <v>34</v>
      </c>
      <c r="C7" s="13">
        <v>43666</v>
      </c>
      <c r="D7" t="s">
        <v>35</v>
      </c>
      <c r="E7" s="9">
        <v>3.34</v>
      </c>
    </row>
    <row r="8" spans="1:7" x14ac:dyDescent="0.25">
      <c r="A8">
        <f t="shared" si="0"/>
        <v>7</v>
      </c>
      <c r="B8" t="s">
        <v>34</v>
      </c>
      <c r="C8" s="13">
        <v>43735</v>
      </c>
      <c r="D8">
        <v>1.83</v>
      </c>
      <c r="E8" s="9">
        <v>3.38</v>
      </c>
    </row>
    <row r="9" spans="1:7" x14ac:dyDescent="0.25">
      <c r="A9">
        <f t="shared" si="0"/>
        <v>8</v>
      </c>
      <c r="B9" t="s">
        <v>34</v>
      </c>
      <c r="C9" s="13">
        <v>43709</v>
      </c>
      <c r="D9" t="s">
        <v>35</v>
      </c>
      <c r="E9" s="9">
        <v>3.64</v>
      </c>
    </row>
    <row r="10" spans="1:7" x14ac:dyDescent="0.25">
      <c r="A10">
        <f t="shared" si="0"/>
        <v>9</v>
      </c>
      <c r="B10" t="s">
        <v>34</v>
      </c>
      <c r="C10" s="13">
        <v>43707</v>
      </c>
      <c r="D10" t="s">
        <v>36</v>
      </c>
      <c r="E10" s="9">
        <v>4.55</v>
      </c>
    </row>
    <row r="11" spans="1:7" x14ac:dyDescent="0.25">
      <c r="A11">
        <f t="shared" si="0"/>
        <v>10</v>
      </c>
      <c r="B11" t="s">
        <v>34</v>
      </c>
      <c r="C11" s="14" t="s">
        <v>37</v>
      </c>
      <c r="D11" t="s">
        <v>36</v>
      </c>
      <c r="E11" s="9">
        <v>1.82</v>
      </c>
    </row>
    <row r="12" spans="1:7" x14ac:dyDescent="0.25">
      <c r="A12">
        <f t="shared" si="0"/>
        <v>11</v>
      </c>
      <c r="B12" t="s">
        <v>34</v>
      </c>
      <c r="C12" s="13">
        <v>43774</v>
      </c>
      <c r="D12">
        <v>4.46</v>
      </c>
      <c r="E12" s="9">
        <v>4.21</v>
      </c>
    </row>
    <row r="13" spans="1:7" x14ac:dyDescent="0.25">
      <c r="A13">
        <f t="shared" si="0"/>
        <v>12</v>
      </c>
      <c r="B13" t="s">
        <v>34</v>
      </c>
      <c r="C13" s="13">
        <v>43698</v>
      </c>
      <c r="D13" t="s">
        <v>36</v>
      </c>
      <c r="E13" s="9">
        <v>1.82</v>
      </c>
    </row>
    <row r="14" spans="1:7" x14ac:dyDescent="0.25">
      <c r="A14">
        <f t="shared" si="0"/>
        <v>13</v>
      </c>
      <c r="B14" t="s">
        <v>34</v>
      </c>
      <c r="C14" s="13">
        <v>43742</v>
      </c>
      <c r="D14">
        <v>2.4300000000000002</v>
      </c>
      <c r="E14" s="9">
        <v>4.24</v>
      </c>
    </row>
    <row r="15" spans="1:7" x14ac:dyDescent="0.25">
      <c r="A15">
        <f t="shared" si="0"/>
        <v>14</v>
      </c>
      <c r="B15" t="s">
        <v>34</v>
      </c>
      <c r="C15" s="13">
        <v>43702</v>
      </c>
      <c r="D15" t="s">
        <v>36</v>
      </c>
      <c r="E15" s="9">
        <v>2.73</v>
      </c>
    </row>
    <row r="16" spans="1:7" x14ac:dyDescent="0.25">
      <c r="A16">
        <f t="shared" si="0"/>
        <v>15</v>
      </c>
      <c r="B16" t="s">
        <v>34</v>
      </c>
      <c r="C16" s="13">
        <v>43638</v>
      </c>
      <c r="D16" t="s">
        <v>36</v>
      </c>
      <c r="E16" s="9">
        <v>2.27</v>
      </c>
    </row>
    <row r="17" spans="1:5" x14ac:dyDescent="0.25">
      <c r="A17">
        <f t="shared" si="0"/>
        <v>16</v>
      </c>
      <c r="B17" t="s">
        <v>34</v>
      </c>
      <c r="C17" s="13">
        <v>43696</v>
      </c>
      <c r="D17" t="s">
        <v>36</v>
      </c>
      <c r="E17" s="9">
        <v>5</v>
      </c>
    </row>
    <row r="18" spans="1:5" x14ac:dyDescent="0.25">
      <c r="A18">
        <f t="shared" si="0"/>
        <v>17</v>
      </c>
      <c r="B18" t="s">
        <v>34</v>
      </c>
      <c r="C18" s="13">
        <v>43763</v>
      </c>
      <c r="D18" t="s">
        <v>36</v>
      </c>
      <c r="E18" s="10" t="s">
        <v>38</v>
      </c>
    </row>
    <row r="19" spans="1:5" x14ac:dyDescent="0.25">
      <c r="A19">
        <f t="shared" si="0"/>
        <v>18</v>
      </c>
      <c r="B19" t="s">
        <v>34</v>
      </c>
      <c r="C19" s="13">
        <v>43704</v>
      </c>
      <c r="D19" t="s">
        <v>36</v>
      </c>
      <c r="E19" s="9">
        <v>3.18</v>
      </c>
    </row>
    <row r="20" spans="1:5" x14ac:dyDescent="0.25">
      <c r="A20">
        <f t="shared" si="0"/>
        <v>19</v>
      </c>
      <c r="B20" t="s">
        <v>34</v>
      </c>
      <c r="C20" s="13">
        <v>43691</v>
      </c>
      <c r="D20" t="s">
        <v>36</v>
      </c>
      <c r="E20" s="9">
        <v>4.55</v>
      </c>
    </row>
    <row r="21" spans="1:5" x14ac:dyDescent="0.25">
      <c r="A21">
        <f t="shared" si="0"/>
        <v>20</v>
      </c>
      <c r="B21" t="s">
        <v>34</v>
      </c>
      <c r="C21" s="13">
        <v>43673</v>
      </c>
      <c r="D21" t="s">
        <v>36</v>
      </c>
      <c r="E21" s="9">
        <v>3.18</v>
      </c>
    </row>
    <row r="22" spans="1:5" x14ac:dyDescent="0.25">
      <c r="A22">
        <f t="shared" si="0"/>
        <v>21</v>
      </c>
      <c r="B22" t="s">
        <v>34</v>
      </c>
      <c r="C22" s="13">
        <v>43505</v>
      </c>
      <c r="D22" t="s">
        <v>36</v>
      </c>
      <c r="E22" s="9">
        <v>4.09</v>
      </c>
    </row>
    <row r="23" spans="1:5" x14ac:dyDescent="0.25">
      <c r="A23">
        <f t="shared" si="0"/>
        <v>22</v>
      </c>
      <c r="B23" t="s">
        <v>34</v>
      </c>
      <c r="C23" s="13">
        <v>43526</v>
      </c>
      <c r="D23" t="s">
        <v>36</v>
      </c>
      <c r="E23" s="9">
        <v>1.36</v>
      </c>
    </row>
    <row r="24" spans="1:5" x14ac:dyDescent="0.25">
      <c r="A24">
        <f t="shared" si="0"/>
        <v>23</v>
      </c>
      <c r="B24" t="s">
        <v>34</v>
      </c>
      <c r="C24" s="13">
        <v>43672</v>
      </c>
      <c r="D24" t="s">
        <v>36</v>
      </c>
      <c r="E24" s="9">
        <v>3.64</v>
      </c>
    </row>
    <row r="25" spans="1:5" x14ac:dyDescent="0.25">
      <c r="A25">
        <f t="shared" si="0"/>
        <v>24</v>
      </c>
      <c r="B25" t="s">
        <v>34</v>
      </c>
      <c r="C25" s="13">
        <v>43743</v>
      </c>
      <c r="D25">
        <v>1.8</v>
      </c>
      <c r="E25" s="9">
        <v>3.09</v>
      </c>
    </row>
    <row r="26" spans="1:5" x14ac:dyDescent="0.25">
      <c r="A26">
        <f t="shared" si="0"/>
        <v>25</v>
      </c>
      <c r="B26" t="s">
        <v>34</v>
      </c>
      <c r="C26" s="13">
        <v>43683</v>
      </c>
      <c r="D26" t="s">
        <v>36</v>
      </c>
      <c r="E26" s="9">
        <v>2.73</v>
      </c>
    </row>
    <row r="27" spans="1:5" x14ac:dyDescent="0.25">
      <c r="A27">
        <f t="shared" si="0"/>
        <v>26</v>
      </c>
      <c r="B27" t="s">
        <v>34</v>
      </c>
      <c r="C27" s="13">
        <v>43815</v>
      </c>
      <c r="D27">
        <v>3.67</v>
      </c>
      <c r="E27" s="9">
        <v>4.21</v>
      </c>
    </row>
    <row r="28" spans="1:5" x14ac:dyDescent="0.25">
      <c r="A28">
        <f t="shared" si="0"/>
        <v>27</v>
      </c>
      <c r="B28" t="s">
        <v>34</v>
      </c>
      <c r="C28" s="13">
        <v>43816</v>
      </c>
      <c r="D28">
        <v>2.81</v>
      </c>
      <c r="E28" s="9">
        <v>3.31</v>
      </c>
    </row>
    <row r="29" spans="1:5" x14ac:dyDescent="0.25">
      <c r="A29">
        <f t="shared" si="0"/>
        <v>28</v>
      </c>
      <c r="B29" t="s">
        <v>34</v>
      </c>
      <c r="C29" s="13">
        <v>43817</v>
      </c>
      <c r="D29">
        <v>2.59</v>
      </c>
      <c r="E29" s="9">
        <v>2.96</v>
      </c>
    </row>
    <row r="30" spans="1:5" x14ac:dyDescent="0.25">
      <c r="A30">
        <f t="shared" si="0"/>
        <v>29</v>
      </c>
      <c r="B30" t="s">
        <v>34</v>
      </c>
      <c r="C30" s="13">
        <v>43818</v>
      </c>
      <c r="D30" t="s">
        <v>36</v>
      </c>
      <c r="E30" s="9">
        <v>1.77</v>
      </c>
    </row>
    <row r="31" spans="1:5" x14ac:dyDescent="0.25">
      <c r="A31">
        <f t="shared" si="0"/>
        <v>30</v>
      </c>
      <c r="B31" t="s">
        <v>34</v>
      </c>
      <c r="C31" s="13">
        <v>43445</v>
      </c>
      <c r="D31" t="s">
        <v>36</v>
      </c>
      <c r="E31" s="9">
        <v>5.0999999999999996</v>
      </c>
    </row>
    <row r="32" spans="1:5" x14ac:dyDescent="0.25">
      <c r="A32">
        <f t="shared" si="0"/>
        <v>31</v>
      </c>
      <c r="B32" t="s">
        <v>34</v>
      </c>
      <c r="C32" s="13">
        <v>43518</v>
      </c>
      <c r="D32" t="s">
        <v>36</v>
      </c>
      <c r="E32" s="9">
        <v>2.27</v>
      </c>
    </row>
    <row r="33" spans="1:7" x14ac:dyDescent="0.25">
      <c r="A33">
        <f t="shared" si="0"/>
        <v>32</v>
      </c>
      <c r="B33" t="s">
        <v>34</v>
      </c>
      <c r="C33" s="13">
        <v>43749</v>
      </c>
      <c r="D33">
        <v>1.42</v>
      </c>
      <c r="E33" s="9">
        <v>2.15</v>
      </c>
    </row>
    <row r="34" spans="1:7" x14ac:dyDescent="0.25">
      <c r="A34">
        <f t="shared" si="0"/>
        <v>33</v>
      </c>
      <c r="B34" t="s">
        <v>34</v>
      </c>
      <c r="C34" s="13">
        <v>43634</v>
      </c>
      <c r="D34" t="s">
        <v>36</v>
      </c>
      <c r="E34" s="9">
        <v>2.27</v>
      </c>
    </row>
    <row r="35" spans="1:7" x14ac:dyDescent="0.25">
      <c r="A35">
        <f t="shared" si="0"/>
        <v>34</v>
      </c>
      <c r="B35" t="s">
        <v>34</v>
      </c>
      <c r="C35" s="13">
        <v>43435</v>
      </c>
      <c r="D35" t="s">
        <v>36</v>
      </c>
      <c r="E35" s="9">
        <v>4.62</v>
      </c>
    </row>
    <row r="36" spans="1:7" x14ac:dyDescent="0.25">
      <c r="A36">
        <f t="shared" si="0"/>
        <v>35</v>
      </c>
      <c r="B36" t="s">
        <v>34</v>
      </c>
      <c r="C36" s="13">
        <v>43437</v>
      </c>
      <c r="D36" t="s">
        <v>36</v>
      </c>
      <c r="E36" s="9">
        <v>1.83</v>
      </c>
    </row>
    <row r="37" spans="1:7" x14ac:dyDescent="0.25">
      <c r="A37">
        <f t="shared" si="0"/>
        <v>36</v>
      </c>
      <c r="B37" t="s">
        <v>34</v>
      </c>
      <c r="C37" s="13">
        <v>43814</v>
      </c>
      <c r="D37">
        <v>1.79</v>
      </c>
      <c r="E37" s="9">
        <v>2.13</v>
      </c>
    </row>
    <row r="38" spans="1:7" x14ac:dyDescent="0.25">
      <c r="A38">
        <f t="shared" si="0"/>
        <v>37</v>
      </c>
      <c r="B38" t="s">
        <v>34</v>
      </c>
      <c r="C38" s="13">
        <v>43803</v>
      </c>
      <c r="D38">
        <v>5.34</v>
      </c>
      <c r="E38" s="9">
        <v>5.08</v>
      </c>
    </row>
    <row r="39" spans="1:7" x14ac:dyDescent="0.25">
      <c r="A39">
        <f t="shared" si="0"/>
        <v>38</v>
      </c>
      <c r="B39" t="s">
        <v>34</v>
      </c>
      <c r="C39" s="13">
        <v>43821</v>
      </c>
      <c r="D39">
        <v>1.74</v>
      </c>
      <c r="E39" s="9">
        <v>1.75</v>
      </c>
    </row>
    <row r="40" spans="1:7" x14ac:dyDescent="0.25">
      <c r="A40">
        <f t="shared" si="0"/>
        <v>39</v>
      </c>
      <c r="B40" t="s">
        <v>34</v>
      </c>
      <c r="C40" s="13">
        <v>43556</v>
      </c>
      <c r="D40" t="s">
        <v>36</v>
      </c>
      <c r="E40" s="9">
        <v>2.91</v>
      </c>
    </row>
    <row r="41" spans="1:7" x14ac:dyDescent="0.25">
      <c r="A41">
        <f t="shared" si="0"/>
        <v>40</v>
      </c>
      <c r="B41" t="s">
        <v>34</v>
      </c>
      <c r="C41" s="13">
        <v>43822</v>
      </c>
      <c r="D41">
        <v>1.88</v>
      </c>
      <c r="E41" s="9">
        <v>3.74</v>
      </c>
    </row>
    <row r="42" spans="1:7" x14ac:dyDescent="0.25">
      <c r="A42">
        <f t="shared" si="0"/>
        <v>41</v>
      </c>
      <c r="B42" t="s">
        <v>34</v>
      </c>
      <c r="C42" s="13">
        <v>43554</v>
      </c>
      <c r="D42" t="s">
        <v>36</v>
      </c>
      <c r="E42" s="9">
        <v>3.41</v>
      </c>
    </row>
    <row r="43" spans="1:7" x14ac:dyDescent="0.25">
      <c r="A43">
        <f t="shared" si="0"/>
        <v>42</v>
      </c>
      <c r="B43" t="s">
        <v>34</v>
      </c>
      <c r="C43" s="13">
        <v>43574</v>
      </c>
      <c r="D43" t="s">
        <v>36</v>
      </c>
      <c r="E43" s="9">
        <v>2.64</v>
      </c>
    </row>
    <row r="44" spans="1:7" x14ac:dyDescent="0.25">
      <c r="A44">
        <f t="shared" si="0"/>
        <v>43</v>
      </c>
      <c r="B44" t="s">
        <v>34</v>
      </c>
      <c r="C44" s="13">
        <v>43804</v>
      </c>
      <c r="D44" t="s">
        <v>36</v>
      </c>
      <c r="E44" s="9">
        <v>2.2599999999999998</v>
      </c>
    </row>
    <row r="45" spans="1:7" x14ac:dyDescent="0.25">
      <c r="A45">
        <f t="shared" si="0"/>
        <v>44</v>
      </c>
      <c r="B45" t="s">
        <v>34</v>
      </c>
      <c r="C45" s="13">
        <v>43686</v>
      </c>
      <c r="D45" t="s">
        <v>36</v>
      </c>
      <c r="E45" s="9">
        <v>1.96</v>
      </c>
    </row>
    <row r="46" spans="1:7" x14ac:dyDescent="0.25">
      <c r="A46">
        <f t="shared" si="0"/>
        <v>45</v>
      </c>
      <c r="B46" t="s">
        <v>34</v>
      </c>
      <c r="C46" s="14" t="s">
        <v>38</v>
      </c>
      <c r="D46" t="s">
        <v>36</v>
      </c>
      <c r="E46" s="9">
        <v>3.68</v>
      </c>
      <c r="F46">
        <v>40.44</v>
      </c>
      <c r="G46" t="s">
        <v>50</v>
      </c>
    </row>
    <row r="47" spans="1:7" x14ac:dyDescent="0.25">
      <c r="A47">
        <f t="shared" si="0"/>
        <v>46</v>
      </c>
      <c r="B47" t="s">
        <v>34</v>
      </c>
      <c r="C47" s="13">
        <v>43441</v>
      </c>
      <c r="D47" t="s">
        <v>36</v>
      </c>
    </row>
    <row r="48" spans="1:7" x14ac:dyDescent="0.25">
      <c r="A48">
        <f t="shared" si="0"/>
        <v>47</v>
      </c>
      <c r="B48" t="s">
        <v>34</v>
      </c>
      <c r="C48" s="13">
        <v>43440</v>
      </c>
      <c r="D48" t="s">
        <v>36</v>
      </c>
      <c r="E48" s="9">
        <v>3.45</v>
      </c>
    </row>
    <row r="49" spans="1:5" x14ac:dyDescent="0.25">
      <c r="A49">
        <f t="shared" si="0"/>
        <v>48</v>
      </c>
      <c r="B49" t="s">
        <v>34</v>
      </c>
      <c r="C49" s="13">
        <v>43448</v>
      </c>
      <c r="D49" t="s">
        <v>36</v>
      </c>
      <c r="E49" s="9">
        <v>1.82</v>
      </c>
    </row>
    <row r="50" spans="1:5" x14ac:dyDescent="0.25">
      <c r="A50">
        <f t="shared" si="0"/>
        <v>49</v>
      </c>
      <c r="B50" t="s">
        <v>34</v>
      </c>
      <c r="C50" s="13">
        <v>43455</v>
      </c>
      <c r="D50" t="s">
        <v>36</v>
      </c>
      <c r="E50" s="9">
        <v>4.09</v>
      </c>
    </row>
    <row r="51" spans="1:5" x14ac:dyDescent="0.25">
      <c r="A51">
        <f t="shared" si="0"/>
        <v>50</v>
      </c>
      <c r="B51" t="s">
        <v>34</v>
      </c>
      <c r="C51" s="13">
        <v>43433</v>
      </c>
      <c r="D51" t="s">
        <v>36</v>
      </c>
      <c r="E51" s="9">
        <v>2.73</v>
      </c>
    </row>
    <row r="52" spans="1:5" x14ac:dyDescent="0.25">
      <c r="A52">
        <f t="shared" si="0"/>
        <v>51</v>
      </c>
      <c r="B52" t="s">
        <v>34</v>
      </c>
      <c r="C52" s="13">
        <v>43668</v>
      </c>
      <c r="D52" t="s">
        <v>36</v>
      </c>
      <c r="E52" s="9">
        <v>2.74</v>
      </c>
    </row>
    <row r="53" spans="1:5" x14ac:dyDescent="0.25">
      <c r="A53">
        <f t="shared" si="0"/>
        <v>52</v>
      </c>
      <c r="B53" t="s">
        <v>34</v>
      </c>
      <c r="C53" s="13">
        <v>43631</v>
      </c>
      <c r="D53" t="s">
        <v>36</v>
      </c>
      <c r="E53" s="9">
        <v>2.91</v>
      </c>
    </row>
    <row r="54" spans="1:5" x14ac:dyDescent="0.25">
      <c r="A54">
        <f t="shared" si="0"/>
        <v>53</v>
      </c>
      <c r="B54" t="s">
        <v>34</v>
      </c>
      <c r="C54" s="13">
        <v>43649</v>
      </c>
      <c r="D54" t="s">
        <v>36</v>
      </c>
      <c r="E54" s="9">
        <v>2.75</v>
      </c>
    </row>
    <row r="55" spans="1:5" x14ac:dyDescent="0.25">
      <c r="A55">
        <f t="shared" si="0"/>
        <v>54</v>
      </c>
      <c r="B55" t="s">
        <v>34</v>
      </c>
      <c r="C55" s="13">
        <v>43622</v>
      </c>
      <c r="D55" t="s">
        <v>36</v>
      </c>
      <c r="E55" s="9">
        <v>4.55</v>
      </c>
    </row>
    <row r="56" spans="1:5" x14ac:dyDescent="0.25">
      <c r="A56">
        <f t="shared" si="0"/>
        <v>55</v>
      </c>
      <c r="B56" t="s">
        <v>34</v>
      </c>
      <c r="C56" s="13">
        <v>43642</v>
      </c>
      <c r="D56" t="s">
        <v>36</v>
      </c>
      <c r="E56" s="9">
        <v>4.09</v>
      </c>
    </row>
    <row r="57" spans="1:5" x14ac:dyDescent="0.25">
      <c r="A57">
        <f t="shared" si="0"/>
        <v>56</v>
      </c>
      <c r="B57" t="s">
        <v>34</v>
      </c>
      <c r="C57" s="13">
        <v>43633</v>
      </c>
      <c r="D57" t="s">
        <v>36</v>
      </c>
      <c r="E57" s="9">
        <v>1.0900000000000001</v>
      </c>
    </row>
    <row r="58" spans="1:5" x14ac:dyDescent="0.25">
      <c r="A58">
        <f t="shared" si="0"/>
        <v>57</v>
      </c>
      <c r="B58" t="s">
        <v>34</v>
      </c>
      <c r="C58" s="13">
        <v>43634</v>
      </c>
      <c r="D58" t="s">
        <v>36</v>
      </c>
      <c r="E58" s="9">
        <v>4.55</v>
      </c>
    </row>
    <row r="59" spans="1:5" x14ac:dyDescent="0.25">
      <c r="A59">
        <f t="shared" si="0"/>
        <v>58</v>
      </c>
      <c r="B59" t="s">
        <v>34</v>
      </c>
      <c r="C59" s="13">
        <v>43635</v>
      </c>
      <c r="D59" t="s">
        <v>36</v>
      </c>
      <c r="E59" s="9">
        <v>5.04</v>
      </c>
    </row>
    <row r="60" spans="1:5" x14ac:dyDescent="0.25">
      <c r="A60">
        <f t="shared" si="0"/>
        <v>59</v>
      </c>
      <c r="B60" t="s">
        <v>34</v>
      </c>
      <c r="C60" s="13">
        <v>43660</v>
      </c>
      <c r="D60" t="s">
        <v>36</v>
      </c>
      <c r="E60" s="9">
        <v>4.09</v>
      </c>
    </row>
    <row r="61" spans="1:5" x14ac:dyDescent="0.25">
      <c r="A61">
        <f t="shared" si="0"/>
        <v>60</v>
      </c>
      <c r="B61" t="s">
        <v>34</v>
      </c>
      <c r="C61" s="13">
        <v>43549</v>
      </c>
      <c r="D61" t="s">
        <v>36</v>
      </c>
      <c r="E61" s="9">
        <v>1.82</v>
      </c>
    </row>
    <row r="62" spans="1:5" x14ac:dyDescent="0.25">
      <c r="A62">
        <f t="shared" si="0"/>
        <v>61</v>
      </c>
      <c r="B62" t="s">
        <v>34</v>
      </c>
      <c r="C62" s="13">
        <v>43560</v>
      </c>
      <c r="D62" t="s">
        <v>36</v>
      </c>
      <c r="E62" s="9">
        <v>2.4</v>
      </c>
    </row>
    <row r="63" spans="1:5" x14ac:dyDescent="0.25">
      <c r="A63">
        <f t="shared" si="0"/>
        <v>62</v>
      </c>
      <c r="B63" t="s">
        <v>34</v>
      </c>
      <c r="C63" s="13">
        <v>43599</v>
      </c>
      <c r="D63" t="s">
        <v>36</v>
      </c>
      <c r="E63" s="9">
        <v>4.09</v>
      </c>
    </row>
    <row r="64" spans="1:5" x14ac:dyDescent="0.25">
      <c r="A64">
        <f t="shared" si="0"/>
        <v>63</v>
      </c>
      <c r="B64" t="s">
        <v>34</v>
      </c>
      <c r="C64" s="13">
        <v>43521</v>
      </c>
      <c r="D64" t="s">
        <v>36</v>
      </c>
      <c r="E64" s="9">
        <v>4.3</v>
      </c>
    </row>
    <row r="65" spans="1:5" x14ac:dyDescent="0.25">
      <c r="A65">
        <f t="shared" si="0"/>
        <v>64</v>
      </c>
      <c r="B65" t="s">
        <v>34</v>
      </c>
      <c r="C65" s="13">
        <v>43614</v>
      </c>
      <c r="D65" t="s">
        <v>36</v>
      </c>
      <c r="E65" s="9">
        <v>3.66</v>
      </c>
    </row>
    <row r="66" spans="1:5" x14ac:dyDescent="0.25">
      <c r="A66">
        <f t="shared" si="0"/>
        <v>65</v>
      </c>
      <c r="B66" t="s">
        <v>34</v>
      </c>
      <c r="C66" s="13">
        <v>43551</v>
      </c>
      <c r="D66" t="s">
        <v>36</v>
      </c>
      <c r="E66" s="9">
        <v>3.94</v>
      </c>
    </row>
    <row r="67" spans="1:5" x14ac:dyDescent="0.25">
      <c r="A67">
        <f t="shared" si="0"/>
        <v>66</v>
      </c>
      <c r="B67" t="s">
        <v>34</v>
      </c>
      <c r="C67" s="13">
        <v>43452</v>
      </c>
      <c r="D67" t="s">
        <v>36</v>
      </c>
      <c r="E67" s="9">
        <v>4.7300000000000004</v>
      </c>
    </row>
    <row r="68" spans="1:5" x14ac:dyDescent="0.25">
      <c r="A68">
        <f t="shared" ref="A68:A131" si="1">A67+1</f>
        <v>67</v>
      </c>
      <c r="B68" t="s">
        <v>34</v>
      </c>
      <c r="C68" s="13">
        <v>43629</v>
      </c>
      <c r="D68" t="s">
        <v>36</v>
      </c>
      <c r="E68" s="9">
        <v>0.91</v>
      </c>
    </row>
    <row r="69" spans="1:5" x14ac:dyDescent="0.25">
      <c r="A69">
        <f t="shared" si="1"/>
        <v>68</v>
      </c>
      <c r="B69" t="s">
        <v>34</v>
      </c>
      <c r="C69" s="13">
        <v>43790</v>
      </c>
      <c r="D69" t="s">
        <v>36</v>
      </c>
      <c r="E69" s="9">
        <v>4.37</v>
      </c>
    </row>
    <row r="70" spans="1:5" x14ac:dyDescent="0.25">
      <c r="A70">
        <f t="shared" si="1"/>
        <v>69</v>
      </c>
      <c r="B70" t="s">
        <v>34</v>
      </c>
      <c r="C70" s="13">
        <v>43416</v>
      </c>
      <c r="D70" t="s">
        <v>36</v>
      </c>
      <c r="E70" s="9">
        <v>4.54</v>
      </c>
    </row>
    <row r="71" spans="1:5" x14ac:dyDescent="0.25">
      <c r="A71">
        <f t="shared" si="1"/>
        <v>70</v>
      </c>
      <c r="B71" t="s">
        <v>34</v>
      </c>
      <c r="C71" s="13">
        <v>43785</v>
      </c>
      <c r="D71" t="s">
        <v>36</v>
      </c>
      <c r="E71" s="9">
        <v>1.82</v>
      </c>
    </row>
    <row r="72" spans="1:5" x14ac:dyDescent="0.25">
      <c r="A72">
        <f t="shared" si="1"/>
        <v>71</v>
      </c>
      <c r="B72" t="s">
        <v>34</v>
      </c>
      <c r="C72" s="13">
        <v>43612</v>
      </c>
      <c r="D72" t="s">
        <v>36</v>
      </c>
      <c r="E72" s="9">
        <v>4.55</v>
      </c>
    </row>
    <row r="73" spans="1:5" x14ac:dyDescent="0.25">
      <c r="A73">
        <f t="shared" si="1"/>
        <v>72</v>
      </c>
      <c r="B73" t="s">
        <v>34</v>
      </c>
      <c r="C73" s="13">
        <v>43837</v>
      </c>
      <c r="D73">
        <v>1.68</v>
      </c>
      <c r="E73" s="9">
        <v>3.14</v>
      </c>
    </row>
    <row r="74" spans="1:5" x14ac:dyDescent="0.25">
      <c r="A74">
        <f t="shared" si="1"/>
        <v>73</v>
      </c>
      <c r="B74" t="s">
        <v>34</v>
      </c>
      <c r="C74" s="13">
        <v>43831</v>
      </c>
      <c r="D74">
        <v>4.4800000000000004</v>
      </c>
      <c r="E74" s="9">
        <v>3.99</v>
      </c>
    </row>
    <row r="75" spans="1:5" x14ac:dyDescent="0.25">
      <c r="A75">
        <f t="shared" si="1"/>
        <v>74</v>
      </c>
      <c r="B75" t="s">
        <v>34</v>
      </c>
      <c r="C75" s="13">
        <v>43819</v>
      </c>
      <c r="D75">
        <v>2.5</v>
      </c>
      <c r="E75" s="9">
        <v>2.3199999999999998</v>
      </c>
    </row>
    <row r="76" spans="1:5" x14ac:dyDescent="0.25">
      <c r="A76">
        <f t="shared" si="1"/>
        <v>75</v>
      </c>
      <c r="B76" t="s">
        <v>34</v>
      </c>
      <c r="C76" s="13">
        <v>43795</v>
      </c>
      <c r="D76">
        <v>5.27</v>
      </c>
      <c r="E76" s="9">
        <v>5.89</v>
      </c>
    </row>
    <row r="77" spans="1:5" x14ac:dyDescent="0.25">
      <c r="A77">
        <f t="shared" si="1"/>
        <v>76</v>
      </c>
      <c r="B77" t="s">
        <v>34</v>
      </c>
      <c r="C77" s="13">
        <v>43806</v>
      </c>
      <c r="D77">
        <v>2.35</v>
      </c>
      <c r="E77" s="9">
        <v>2.06</v>
      </c>
    </row>
    <row r="78" spans="1:5" x14ac:dyDescent="0.25">
      <c r="A78">
        <f t="shared" si="1"/>
        <v>77</v>
      </c>
      <c r="B78" t="s">
        <v>34</v>
      </c>
      <c r="C78" s="13">
        <v>43833</v>
      </c>
      <c r="D78" t="s">
        <v>36</v>
      </c>
      <c r="E78" s="9">
        <v>2.2000000000000002</v>
      </c>
    </row>
    <row r="79" spans="1:5" x14ac:dyDescent="0.25">
      <c r="A79">
        <f t="shared" si="1"/>
        <v>78</v>
      </c>
      <c r="B79" t="s">
        <v>34</v>
      </c>
      <c r="C79" s="13">
        <v>43723</v>
      </c>
      <c r="D79" t="s">
        <v>36</v>
      </c>
      <c r="E79" s="9">
        <v>3.64</v>
      </c>
    </row>
    <row r="80" spans="1:5" x14ac:dyDescent="0.25">
      <c r="A80">
        <f t="shared" si="1"/>
        <v>79</v>
      </c>
      <c r="B80" t="s">
        <v>34</v>
      </c>
      <c r="C80" s="13">
        <v>43835</v>
      </c>
      <c r="D80">
        <v>2.37</v>
      </c>
      <c r="E80" s="9">
        <v>2.11</v>
      </c>
    </row>
    <row r="81" spans="1:6" x14ac:dyDescent="0.25">
      <c r="A81">
        <f t="shared" si="1"/>
        <v>80</v>
      </c>
      <c r="B81" t="s">
        <v>34</v>
      </c>
      <c r="C81" s="13">
        <v>43842</v>
      </c>
      <c r="D81" t="s">
        <v>36</v>
      </c>
      <c r="E81" s="9">
        <v>3.19</v>
      </c>
    </row>
    <row r="82" spans="1:6" x14ac:dyDescent="0.25">
      <c r="A82">
        <f t="shared" si="1"/>
        <v>81</v>
      </c>
      <c r="B82" t="s">
        <v>34</v>
      </c>
      <c r="C82" s="13">
        <v>43856</v>
      </c>
      <c r="D82">
        <v>5.93</v>
      </c>
      <c r="E82" s="9">
        <v>5.38</v>
      </c>
    </row>
    <row r="83" spans="1:6" x14ac:dyDescent="0.25">
      <c r="A83">
        <f t="shared" si="1"/>
        <v>82</v>
      </c>
      <c r="B83" t="s">
        <v>34</v>
      </c>
      <c r="C83" s="13">
        <v>43859</v>
      </c>
      <c r="D83">
        <v>6.25</v>
      </c>
      <c r="E83" s="9">
        <v>5.48</v>
      </c>
    </row>
    <row r="84" spans="1:6" x14ac:dyDescent="0.25">
      <c r="A84">
        <f t="shared" si="1"/>
        <v>83</v>
      </c>
      <c r="B84" t="s">
        <v>34</v>
      </c>
      <c r="C84" s="13">
        <v>43798</v>
      </c>
      <c r="D84">
        <v>1.66</v>
      </c>
      <c r="E84" s="9">
        <v>1.67</v>
      </c>
    </row>
    <row r="85" spans="1:6" x14ac:dyDescent="0.25">
      <c r="A85">
        <f t="shared" si="1"/>
        <v>84</v>
      </c>
      <c r="B85" t="s">
        <v>34</v>
      </c>
      <c r="C85" s="13">
        <v>43406</v>
      </c>
      <c r="D85" t="s">
        <v>36</v>
      </c>
      <c r="E85" s="9">
        <v>1.37</v>
      </c>
    </row>
    <row r="86" spans="1:6" x14ac:dyDescent="0.25">
      <c r="A86">
        <f t="shared" si="1"/>
        <v>85</v>
      </c>
      <c r="B86" t="s">
        <v>34</v>
      </c>
      <c r="C86" s="13">
        <v>43406</v>
      </c>
      <c r="D86" t="s">
        <v>36</v>
      </c>
      <c r="E86" s="9">
        <v>1.38</v>
      </c>
    </row>
    <row r="87" spans="1:6" x14ac:dyDescent="0.25">
      <c r="A87">
        <f t="shared" si="1"/>
        <v>86</v>
      </c>
      <c r="B87" t="s">
        <v>34</v>
      </c>
      <c r="C87" s="13">
        <v>43480</v>
      </c>
      <c r="D87" t="s">
        <v>36</v>
      </c>
      <c r="E87" s="9">
        <v>3.64</v>
      </c>
    </row>
    <row r="88" spans="1:6" x14ac:dyDescent="0.25">
      <c r="A88">
        <f t="shared" si="1"/>
        <v>87</v>
      </c>
      <c r="B88" t="s">
        <v>34</v>
      </c>
      <c r="C88" s="13">
        <v>43657</v>
      </c>
      <c r="D88" t="s">
        <v>36</v>
      </c>
      <c r="E88" s="9">
        <v>4.09</v>
      </c>
    </row>
    <row r="89" spans="1:6" x14ac:dyDescent="0.25">
      <c r="A89">
        <f t="shared" si="1"/>
        <v>88</v>
      </c>
      <c r="B89" t="s">
        <v>34</v>
      </c>
      <c r="C89" s="13">
        <v>43596</v>
      </c>
      <c r="D89" t="s">
        <v>36</v>
      </c>
      <c r="E89" s="9">
        <v>4.09</v>
      </c>
    </row>
    <row r="90" spans="1:6" x14ac:dyDescent="0.25">
      <c r="A90">
        <f t="shared" si="1"/>
        <v>89</v>
      </c>
      <c r="B90" t="s">
        <v>34</v>
      </c>
      <c r="C90" s="13">
        <v>43581</v>
      </c>
      <c r="D90" t="s">
        <v>36</v>
      </c>
      <c r="E90" s="9">
        <v>4.55</v>
      </c>
    </row>
    <row r="91" spans="1:6" x14ac:dyDescent="0.25">
      <c r="A91">
        <f t="shared" si="1"/>
        <v>90</v>
      </c>
      <c r="B91" t="s">
        <v>34</v>
      </c>
      <c r="C91" s="13">
        <v>43593</v>
      </c>
      <c r="D91" t="s">
        <v>36</v>
      </c>
      <c r="E91" s="9">
        <v>2.5499999999999998</v>
      </c>
    </row>
    <row r="92" spans="1:6" x14ac:dyDescent="0.25">
      <c r="A92">
        <f t="shared" si="1"/>
        <v>91</v>
      </c>
      <c r="B92" t="s">
        <v>34</v>
      </c>
      <c r="C92" s="13">
        <v>43563</v>
      </c>
      <c r="D92" t="s">
        <v>36</v>
      </c>
      <c r="E92" s="9">
        <v>3.05</v>
      </c>
    </row>
    <row r="93" spans="1:6" x14ac:dyDescent="0.25">
      <c r="A93">
        <f t="shared" si="1"/>
        <v>92</v>
      </c>
      <c r="B93" t="s">
        <v>34</v>
      </c>
      <c r="C93" s="13">
        <v>43604</v>
      </c>
      <c r="D93" t="s">
        <v>36</v>
      </c>
      <c r="E93" s="9">
        <v>4.55</v>
      </c>
    </row>
    <row r="94" spans="1:6" x14ac:dyDescent="0.25">
      <c r="A94">
        <f t="shared" si="1"/>
        <v>93</v>
      </c>
      <c r="B94" t="s">
        <v>34</v>
      </c>
      <c r="C94" s="13">
        <v>43547</v>
      </c>
      <c r="D94" t="s">
        <v>36</v>
      </c>
      <c r="E94" s="9">
        <v>3.18</v>
      </c>
    </row>
    <row r="95" spans="1:6" x14ac:dyDescent="0.25">
      <c r="A95">
        <f t="shared" si="1"/>
        <v>94</v>
      </c>
      <c r="B95" t="s">
        <v>34</v>
      </c>
      <c r="C95" s="13">
        <v>43559</v>
      </c>
      <c r="D95" t="s">
        <v>36</v>
      </c>
      <c r="E95" s="9">
        <v>2.88</v>
      </c>
      <c r="F95" t="s">
        <v>39</v>
      </c>
    </row>
    <row r="96" spans="1:6" x14ac:dyDescent="0.25">
      <c r="A96">
        <f t="shared" si="1"/>
        <v>95</v>
      </c>
      <c r="B96" t="s">
        <v>34</v>
      </c>
      <c r="C96" s="13">
        <v>43541</v>
      </c>
      <c r="D96" t="s">
        <v>36</v>
      </c>
      <c r="E96" s="9">
        <v>4.55</v>
      </c>
    </row>
    <row r="97" spans="1:5" x14ac:dyDescent="0.25">
      <c r="A97">
        <f t="shared" si="1"/>
        <v>96</v>
      </c>
      <c r="B97" t="s">
        <v>34</v>
      </c>
      <c r="C97" s="13">
        <v>43593</v>
      </c>
      <c r="D97" t="s">
        <v>36</v>
      </c>
      <c r="E97" s="9">
        <v>1.82</v>
      </c>
    </row>
    <row r="98" spans="1:5" x14ac:dyDescent="0.25">
      <c r="A98">
        <f t="shared" si="1"/>
        <v>97</v>
      </c>
      <c r="B98" t="s">
        <v>34</v>
      </c>
      <c r="C98" s="13">
        <v>43627</v>
      </c>
      <c r="D98" t="s">
        <v>36</v>
      </c>
      <c r="E98" s="9">
        <v>4.55</v>
      </c>
    </row>
    <row r="99" spans="1:5" x14ac:dyDescent="0.25">
      <c r="A99">
        <f t="shared" si="1"/>
        <v>98</v>
      </c>
      <c r="B99" t="s">
        <v>34</v>
      </c>
      <c r="C99" s="13">
        <v>43518</v>
      </c>
      <c r="D99" t="s">
        <v>36</v>
      </c>
      <c r="E99" s="9">
        <v>1.82</v>
      </c>
    </row>
    <row r="100" spans="1:5" x14ac:dyDescent="0.25">
      <c r="A100">
        <f t="shared" si="1"/>
        <v>99</v>
      </c>
      <c r="B100" t="s">
        <v>34</v>
      </c>
      <c r="C100" s="13">
        <v>43651</v>
      </c>
      <c r="D100" t="s">
        <v>36</v>
      </c>
      <c r="E100" s="9">
        <v>2.27</v>
      </c>
    </row>
    <row r="101" spans="1:5" x14ac:dyDescent="0.25">
      <c r="A101">
        <f t="shared" si="1"/>
        <v>100</v>
      </c>
      <c r="B101" t="s">
        <v>34</v>
      </c>
      <c r="C101" s="13">
        <v>43687</v>
      </c>
      <c r="D101" t="s">
        <v>36</v>
      </c>
      <c r="E101" s="9">
        <v>1.73</v>
      </c>
    </row>
    <row r="102" spans="1:5" x14ac:dyDescent="0.25">
      <c r="A102">
        <f t="shared" si="1"/>
        <v>101</v>
      </c>
      <c r="B102" t="s">
        <v>34</v>
      </c>
      <c r="C102" s="13">
        <v>43680</v>
      </c>
      <c r="D102" t="s">
        <v>36</v>
      </c>
      <c r="E102" s="9">
        <v>4.55</v>
      </c>
    </row>
    <row r="103" spans="1:5" x14ac:dyDescent="0.25">
      <c r="A103">
        <f t="shared" si="1"/>
        <v>102</v>
      </c>
      <c r="B103" t="s">
        <v>34</v>
      </c>
      <c r="C103" s="13">
        <v>43580</v>
      </c>
      <c r="D103" t="s">
        <v>36</v>
      </c>
      <c r="E103" s="9">
        <v>1.82</v>
      </c>
    </row>
    <row r="104" spans="1:5" x14ac:dyDescent="0.25">
      <c r="A104">
        <f t="shared" si="1"/>
        <v>103</v>
      </c>
      <c r="B104" t="s">
        <v>34</v>
      </c>
      <c r="C104" s="13">
        <v>43682</v>
      </c>
      <c r="D104" t="s">
        <v>36</v>
      </c>
      <c r="E104" s="9">
        <v>2.73</v>
      </c>
    </row>
    <row r="105" spans="1:5" x14ac:dyDescent="0.25">
      <c r="A105">
        <f t="shared" si="1"/>
        <v>104</v>
      </c>
      <c r="B105" t="s">
        <v>34</v>
      </c>
      <c r="C105" s="13">
        <v>43645</v>
      </c>
      <c r="D105" t="s">
        <v>36</v>
      </c>
      <c r="E105" s="9">
        <v>4.09</v>
      </c>
    </row>
    <row r="106" spans="1:5" x14ac:dyDescent="0.25">
      <c r="A106">
        <f t="shared" si="1"/>
        <v>105</v>
      </c>
      <c r="B106" t="s">
        <v>34</v>
      </c>
      <c r="C106" s="13">
        <v>43500</v>
      </c>
      <c r="D106" t="s">
        <v>36</v>
      </c>
      <c r="E106" s="9">
        <v>4.3600000000000003</v>
      </c>
    </row>
    <row r="107" spans="1:5" x14ac:dyDescent="0.25">
      <c r="A107">
        <f t="shared" si="1"/>
        <v>106</v>
      </c>
      <c r="B107" t="s">
        <v>34</v>
      </c>
      <c r="C107" s="13">
        <v>43653</v>
      </c>
      <c r="D107" t="s">
        <v>36</v>
      </c>
      <c r="E107" s="9">
        <v>3.64</v>
      </c>
    </row>
    <row r="108" spans="1:5" x14ac:dyDescent="0.25">
      <c r="A108">
        <f t="shared" si="1"/>
        <v>107</v>
      </c>
      <c r="B108" t="s">
        <v>34</v>
      </c>
      <c r="C108" s="13">
        <v>43528</v>
      </c>
      <c r="D108" t="s">
        <v>36</v>
      </c>
      <c r="E108" s="9">
        <v>1.36</v>
      </c>
    </row>
    <row r="109" spans="1:5" x14ac:dyDescent="0.25">
      <c r="A109">
        <f t="shared" si="1"/>
        <v>108</v>
      </c>
      <c r="B109" t="s">
        <v>34</v>
      </c>
      <c r="C109" s="13">
        <v>43491</v>
      </c>
      <c r="D109" t="s">
        <v>36</v>
      </c>
      <c r="E109" s="9">
        <v>3.73</v>
      </c>
    </row>
    <row r="110" spans="1:5" x14ac:dyDescent="0.25">
      <c r="A110">
        <f t="shared" si="1"/>
        <v>109</v>
      </c>
      <c r="B110" t="s">
        <v>34</v>
      </c>
      <c r="C110" s="13">
        <v>43372</v>
      </c>
      <c r="D110" t="s">
        <v>36</v>
      </c>
      <c r="E110" s="9">
        <v>1.37</v>
      </c>
    </row>
    <row r="111" spans="1:5" x14ac:dyDescent="0.25">
      <c r="A111">
        <f t="shared" si="1"/>
        <v>110</v>
      </c>
      <c r="B111" t="s">
        <v>34</v>
      </c>
      <c r="C111" s="13">
        <v>43404</v>
      </c>
      <c r="D111" t="s">
        <v>36</v>
      </c>
      <c r="E111" s="9">
        <v>6.36</v>
      </c>
    </row>
    <row r="112" spans="1:5" x14ac:dyDescent="0.25">
      <c r="A112">
        <f t="shared" si="1"/>
        <v>111</v>
      </c>
      <c r="B112" t="s">
        <v>34</v>
      </c>
      <c r="C112" s="13">
        <v>43685</v>
      </c>
      <c r="D112" t="s">
        <v>36</v>
      </c>
      <c r="E112" s="9">
        <v>2.75</v>
      </c>
    </row>
    <row r="113" spans="1:5" x14ac:dyDescent="0.25">
      <c r="A113">
        <f t="shared" si="1"/>
        <v>112</v>
      </c>
      <c r="B113" t="s">
        <v>34</v>
      </c>
      <c r="C113" s="13">
        <v>43366</v>
      </c>
      <c r="D113" t="s">
        <v>36</v>
      </c>
      <c r="E113" s="9">
        <v>3.64</v>
      </c>
    </row>
    <row r="114" spans="1:5" x14ac:dyDescent="0.25">
      <c r="A114">
        <f t="shared" si="1"/>
        <v>113</v>
      </c>
      <c r="B114" t="s">
        <v>34</v>
      </c>
      <c r="C114" s="13">
        <v>43367</v>
      </c>
      <c r="D114" t="s">
        <v>36</v>
      </c>
      <c r="E114" s="9">
        <v>1.33</v>
      </c>
    </row>
    <row r="115" spans="1:5" x14ac:dyDescent="0.25">
      <c r="A115">
        <f t="shared" si="1"/>
        <v>114</v>
      </c>
      <c r="B115" t="s">
        <v>34</v>
      </c>
      <c r="C115" s="13">
        <v>43365</v>
      </c>
      <c r="D115" t="s">
        <v>36</v>
      </c>
      <c r="E115" s="9">
        <v>15.03</v>
      </c>
    </row>
    <row r="116" spans="1:5" x14ac:dyDescent="0.25">
      <c r="A116">
        <f t="shared" si="1"/>
        <v>115</v>
      </c>
      <c r="B116" t="s">
        <v>34</v>
      </c>
      <c r="C116" s="13">
        <v>43402</v>
      </c>
      <c r="D116" t="s">
        <v>36</v>
      </c>
      <c r="E116" s="9">
        <v>1.82</v>
      </c>
    </row>
    <row r="117" spans="1:5" x14ac:dyDescent="0.25">
      <c r="A117">
        <f t="shared" si="1"/>
        <v>116</v>
      </c>
      <c r="B117" t="s">
        <v>34</v>
      </c>
      <c r="C117" s="13">
        <v>43412</v>
      </c>
      <c r="D117" t="s">
        <v>36</v>
      </c>
      <c r="E117" s="9">
        <v>3.64</v>
      </c>
    </row>
    <row r="118" spans="1:5" x14ac:dyDescent="0.25">
      <c r="A118">
        <f t="shared" si="1"/>
        <v>117</v>
      </c>
      <c r="B118" t="s">
        <v>34</v>
      </c>
      <c r="C118" s="13">
        <v>43423</v>
      </c>
      <c r="D118" t="s">
        <v>36</v>
      </c>
      <c r="E118" s="9">
        <v>4.7699999999999996</v>
      </c>
    </row>
    <row r="119" spans="1:5" x14ac:dyDescent="0.25">
      <c r="A119">
        <f t="shared" si="1"/>
        <v>118</v>
      </c>
      <c r="B119" t="s">
        <v>34</v>
      </c>
      <c r="C119" s="13">
        <v>43437</v>
      </c>
      <c r="D119" t="s">
        <v>36</v>
      </c>
      <c r="E119" s="9">
        <v>3.54</v>
      </c>
    </row>
    <row r="120" spans="1:5" x14ac:dyDescent="0.25">
      <c r="A120">
        <f t="shared" si="1"/>
        <v>119</v>
      </c>
      <c r="B120" t="s">
        <v>34</v>
      </c>
      <c r="C120" s="13">
        <v>43430</v>
      </c>
      <c r="D120" t="s">
        <v>36</v>
      </c>
      <c r="E120" s="9">
        <v>2.98</v>
      </c>
    </row>
    <row r="121" spans="1:5" x14ac:dyDescent="0.25">
      <c r="A121">
        <f t="shared" si="1"/>
        <v>120</v>
      </c>
      <c r="B121" t="s">
        <v>34</v>
      </c>
      <c r="C121" s="13">
        <v>43516</v>
      </c>
      <c r="D121" t="s">
        <v>36</v>
      </c>
      <c r="E121" s="9">
        <v>4.5</v>
      </c>
    </row>
    <row r="122" spans="1:5" x14ac:dyDescent="0.25">
      <c r="A122">
        <f t="shared" si="1"/>
        <v>121</v>
      </c>
      <c r="B122" t="s">
        <v>34</v>
      </c>
      <c r="C122" s="13">
        <v>43572</v>
      </c>
      <c r="D122" t="s">
        <v>36</v>
      </c>
      <c r="E122" s="9">
        <v>4.55</v>
      </c>
    </row>
    <row r="123" spans="1:5" x14ac:dyDescent="0.25">
      <c r="A123">
        <f t="shared" si="1"/>
        <v>122</v>
      </c>
      <c r="B123" t="s">
        <v>34</v>
      </c>
      <c r="C123" s="13">
        <v>43419</v>
      </c>
      <c r="D123" t="s">
        <v>36</v>
      </c>
      <c r="E123" s="9">
        <v>2.5099999999999998</v>
      </c>
    </row>
    <row r="124" spans="1:5" x14ac:dyDescent="0.25">
      <c r="A124">
        <f t="shared" si="1"/>
        <v>123</v>
      </c>
      <c r="B124" t="s">
        <v>34</v>
      </c>
      <c r="C124" s="13">
        <v>43414</v>
      </c>
      <c r="D124" t="s">
        <v>36</v>
      </c>
      <c r="E124" s="9">
        <v>4.09</v>
      </c>
    </row>
    <row r="125" spans="1:5" x14ac:dyDescent="0.25">
      <c r="A125">
        <f t="shared" si="1"/>
        <v>124</v>
      </c>
      <c r="B125" t="s">
        <v>34</v>
      </c>
      <c r="C125" s="13">
        <v>43486</v>
      </c>
      <c r="D125" t="s">
        <v>36</v>
      </c>
      <c r="E125" s="9">
        <v>2.73</v>
      </c>
    </row>
    <row r="126" spans="1:5" x14ac:dyDescent="0.25">
      <c r="A126">
        <f t="shared" si="1"/>
        <v>125</v>
      </c>
      <c r="B126" t="s">
        <v>34</v>
      </c>
      <c r="C126" s="13">
        <v>43375</v>
      </c>
      <c r="D126" t="s">
        <v>36</v>
      </c>
      <c r="E126" s="9">
        <v>1.36</v>
      </c>
    </row>
    <row r="127" spans="1:5" x14ac:dyDescent="0.25">
      <c r="A127">
        <f t="shared" si="1"/>
        <v>126</v>
      </c>
      <c r="B127" t="s">
        <v>34</v>
      </c>
      <c r="C127" s="13">
        <v>43391</v>
      </c>
      <c r="D127" t="s">
        <v>36</v>
      </c>
      <c r="E127" s="9">
        <v>4.55</v>
      </c>
    </row>
    <row r="128" spans="1:5" x14ac:dyDescent="0.25">
      <c r="A128">
        <f t="shared" si="1"/>
        <v>127</v>
      </c>
      <c r="B128" t="s">
        <v>34</v>
      </c>
      <c r="C128" s="13">
        <v>43457</v>
      </c>
      <c r="D128" t="s">
        <v>36</v>
      </c>
      <c r="E128" s="9">
        <v>3.36</v>
      </c>
    </row>
    <row r="129" spans="1:5" x14ac:dyDescent="0.25">
      <c r="A129">
        <f t="shared" si="1"/>
        <v>128</v>
      </c>
      <c r="B129" t="s">
        <v>34</v>
      </c>
      <c r="C129" s="13">
        <v>43603</v>
      </c>
      <c r="D129" t="s">
        <v>36</v>
      </c>
      <c r="E129" s="9">
        <v>1.37</v>
      </c>
    </row>
    <row r="130" spans="1:5" x14ac:dyDescent="0.25">
      <c r="A130">
        <f t="shared" si="1"/>
        <v>129</v>
      </c>
      <c r="B130" t="s">
        <v>34</v>
      </c>
      <c r="C130" s="13">
        <v>43434</v>
      </c>
      <c r="D130" t="s">
        <v>36</v>
      </c>
      <c r="E130" s="9">
        <v>1.36</v>
      </c>
    </row>
    <row r="131" spans="1:5" x14ac:dyDescent="0.25">
      <c r="A131">
        <f t="shared" si="1"/>
        <v>130</v>
      </c>
      <c r="B131" t="s">
        <v>34</v>
      </c>
      <c r="C131" s="13">
        <v>43364</v>
      </c>
      <c r="D131" t="s">
        <v>36</v>
      </c>
      <c r="E131" s="9">
        <v>0.91</v>
      </c>
    </row>
    <row r="132" spans="1:5" x14ac:dyDescent="0.25">
      <c r="A132">
        <f t="shared" ref="A132:A139" si="2">A131+1</f>
        <v>131</v>
      </c>
      <c r="B132" t="s">
        <v>34</v>
      </c>
      <c r="C132" s="13">
        <v>43368</v>
      </c>
      <c r="D132" t="s">
        <v>36</v>
      </c>
      <c r="E132" s="9">
        <v>1.33</v>
      </c>
    </row>
    <row r="133" spans="1:5" x14ac:dyDescent="0.25">
      <c r="A133">
        <f t="shared" si="2"/>
        <v>132</v>
      </c>
      <c r="B133" t="s">
        <v>34</v>
      </c>
      <c r="C133" s="13">
        <v>43866</v>
      </c>
      <c r="D133">
        <v>3.5</v>
      </c>
      <c r="E133" s="9">
        <v>4.67</v>
      </c>
    </row>
    <row r="134" spans="1:5" x14ac:dyDescent="0.25">
      <c r="A134">
        <f t="shared" si="2"/>
        <v>133</v>
      </c>
      <c r="B134" t="s">
        <v>34</v>
      </c>
      <c r="C134" s="13">
        <v>43865</v>
      </c>
      <c r="D134">
        <v>3.76</v>
      </c>
      <c r="E134" s="9">
        <v>3.3</v>
      </c>
    </row>
    <row r="135" spans="1:5" x14ac:dyDescent="0.25">
      <c r="A135">
        <f t="shared" si="2"/>
        <v>134</v>
      </c>
    </row>
    <row r="136" spans="1:5" x14ac:dyDescent="0.25">
      <c r="A136">
        <f t="shared" si="2"/>
        <v>135</v>
      </c>
    </row>
    <row r="137" spans="1:5" x14ac:dyDescent="0.25">
      <c r="A137">
        <f t="shared" si="2"/>
        <v>136</v>
      </c>
    </row>
    <row r="138" spans="1:5" x14ac:dyDescent="0.25">
      <c r="A138">
        <f t="shared" si="2"/>
        <v>137</v>
      </c>
    </row>
    <row r="139" spans="1:5" x14ac:dyDescent="0.25">
      <c r="A139">
        <f t="shared" si="2"/>
        <v>138</v>
      </c>
    </row>
  </sheetData>
  <dataValidations count="2">
    <dataValidation type="list" allowBlank="1" showInputMessage="1" showErrorMessage="1" sqref="B2:B134" xr:uid="{430D04D9-94D6-4B72-A515-98974D6B36DF}">
      <formula1>RideshareName</formula1>
    </dataValidation>
    <dataValidation type="list" allowBlank="1" showInputMessage="1" showErrorMessage="1" sqref="G2:G139" xr:uid="{50F2E557-9647-4109-80A1-9842DD08B00D}">
      <formula1>PetrolStation</formula1>
    </dataValidation>
  </dataValidations>
  <pageMargins left="0.7" right="0.7" top="0.75" bottom="0.75" header="0.3" footer="0.3"/>
  <pageSetup paperSize="9" orientation="portrait" horizontalDpi="4294967293"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1B9B0F-E092-4E7F-AB49-E7B67E53E8B2}">
  <dimension ref="A1:J31"/>
  <sheetViews>
    <sheetView workbookViewId="0">
      <selection activeCell="C2" sqref="C2"/>
    </sheetView>
  </sheetViews>
  <sheetFormatPr defaultRowHeight="15" x14ac:dyDescent="0.25"/>
  <cols>
    <col min="5" max="5" width="9.140625" bestFit="1" customWidth="1"/>
  </cols>
  <sheetData>
    <row r="1" spans="1:10" x14ac:dyDescent="0.25">
      <c r="A1" t="s">
        <v>11</v>
      </c>
      <c r="B1" t="s">
        <v>32</v>
      </c>
      <c r="C1" t="s">
        <v>46</v>
      </c>
      <c r="D1" t="s">
        <v>13</v>
      </c>
      <c r="E1" t="s">
        <v>14</v>
      </c>
      <c r="F1" t="s">
        <v>15</v>
      </c>
      <c r="G1" t="s">
        <v>16</v>
      </c>
      <c r="H1" t="s">
        <v>10</v>
      </c>
      <c r="I1" t="s">
        <v>19</v>
      </c>
      <c r="J1" t="s">
        <v>20</v>
      </c>
    </row>
    <row r="2" spans="1:10" x14ac:dyDescent="0.25">
      <c r="A2">
        <v>1</v>
      </c>
      <c r="C2">
        <v>1</v>
      </c>
      <c r="D2" t="s">
        <v>0</v>
      </c>
      <c r="E2" t="s">
        <v>1</v>
      </c>
      <c r="F2">
        <v>2</v>
      </c>
      <c r="G2">
        <v>2.4</v>
      </c>
      <c r="H2">
        <v>4.8</v>
      </c>
      <c r="I2">
        <v>44213.737581018519</v>
      </c>
      <c r="J2">
        <v>2</v>
      </c>
    </row>
    <row r="3" spans="1:10" x14ac:dyDescent="0.25">
      <c r="A3">
        <v>2</v>
      </c>
      <c r="C3">
        <v>1</v>
      </c>
      <c r="D3" t="s">
        <v>2</v>
      </c>
      <c r="E3" t="s">
        <v>3</v>
      </c>
      <c r="F3">
        <v>3</v>
      </c>
      <c r="G3">
        <v>4.16</v>
      </c>
      <c r="H3">
        <v>13.51</v>
      </c>
      <c r="I3">
        <v>44213.737581018519</v>
      </c>
      <c r="J3">
        <v>2</v>
      </c>
    </row>
    <row r="4" spans="1:10" x14ac:dyDescent="0.25">
      <c r="A4">
        <v>3</v>
      </c>
      <c r="C4">
        <v>1</v>
      </c>
      <c r="D4" t="s">
        <v>4</v>
      </c>
      <c r="E4" t="s">
        <v>5</v>
      </c>
      <c r="F4">
        <v>3</v>
      </c>
      <c r="G4">
        <v>6.8100000000000005</v>
      </c>
      <c r="H4">
        <v>22.68</v>
      </c>
      <c r="I4">
        <v>44213.737581018519</v>
      </c>
      <c r="J4">
        <v>2</v>
      </c>
    </row>
    <row r="5" spans="1:10" x14ac:dyDescent="0.25">
      <c r="A5">
        <v>4</v>
      </c>
      <c r="C5">
        <v>2</v>
      </c>
      <c r="D5" t="s">
        <v>6</v>
      </c>
      <c r="E5" t="s">
        <v>3</v>
      </c>
      <c r="F5">
        <v>3</v>
      </c>
      <c r="G5">
        <v>8.48</v>
      </c>
      <c r="H5">
        <v>28.24</v>
      </c>
      <c r="I5">
        <v>44213.743368055555</v>
      </c>
      <c r="J5">
        <v>3</v>
      </c>
    </row>
    <row r="6" spans="1:10" x14ac:dyDescent="0.25">
      <c r="A6">
        <v>5</v>
      </c>
      <c r="C6">
        <v>3</v>
      </c>
      <c r="D6" t="s">
        <v>2</v>
      </c>
      <c r="E6" t="s">
        <v>3</v>
      </c>
      <c r="F6">
        <v>1</v>
      </c>
      <c r="G6">
        <v>4.16</v>
      </c>
      <c r="H6">
        <v>4.62</v>
      </c>
      <c r="I6">
        <v>44213.754016203704</v>
      </c>
      <c r="J6">
        <v>1</v>
      </c>
    </row>
    <row r="7" spans="1:10" x14ac:dyDescent="0.25">
      <c r="A7">
        <v>6</v>
      </c>
      <c r="C7">
        <v>4</v>
      </c>
      <c r="D7" t="s">
        <v>7</v>
      </c>
      <c r="E7" t="s">
        <v>5</v>
      </c>
      <c r="F7">
        <v>3</v>
      </c>
      <c r="G7">
        <v>12.34</v>
      </c>
      <c r="H7">
        <v>41.09</v>
      </c>
      <c r="I7">
        <v>44213.760439814818</v>
      </c>
      <c r="J7">
        <v>3</v>
      </c>
    </row>
    <row r="8" spans="1:10" x14ac:dyDescent="0.25">
      <c r="A8">
        <v>7</v>
      </c>
      <c r="C8">
        <v>4</v>
      </c>
      <c r="D8" t="s">
        <v>8</v>
      </c>
      <c r="E8" t="s">
        <v>5</v>
      </c>
      <c r="F8">
        <v>3</v>
      </c>
      <c r="G8">
        <v>14.18</v>
      </c>
      <c r="H8">
        <v>47.22</v>
      </c>
      <c r="I8">
        <v>44213.760439814818</v>
      </c>
      <c r="J8">
        <v>3</v>
      </c>
    </row>
    <row r="9" spans="1:10" x14ac:dyDescent="0.25">
      <c r="A9">
        <v>8</v>
      </c>
      <c r="C9">
        <v>5</v>
      </c>
      <c r="D9" t="s">
        <v>2</v>
      </c>
      <c r="E9" t="s">
        <v>3</v>
      </c>
      <c r="F9">
        <v>1</v>
      </c>
      <c r="G9">
        <v>4.16</v>
      </c>
      <c r="H9">
        <v>4.5</v>
      </c>
      <c r="I9">
        <v>44213.764965277776</v>
      </c>
      <c r="J9">
        <v>4</v>
      </c>
    </row>
    <row r="10" spans="1:10" x14ac:dyDescent="0.25">
      <c r="A10">
        <v>9</v>
      </c>
      <c r="C10">
        <v>5</v>
      </c>
      <c r="D10" t="s">
        <v>9</v>
      </c>
      <c r="E10" t="s">
        <v>3</v>
      </c>
      <c r="F10">
        <v>2</v>
      </c>
      <c r="G10">
        <v>18.510000000000002</v>
      </c>
      <c r="H10">
        <v>40.06</v>
      </c>
      <c r="I10">
        <v>44214</v>
      </c>
      <c r="J10">
        <v>4</v>
      </c>
    </row>
    <row r="11" spans="1:10" x14ac:dyDescent="0.25">
      <c r="A11">
        <v>10</v>
      </c>
      <c r="C11">
        <v>5</v>
      </c>
      <c r="D11" t="s">
        <v>0</v>
      </c>
      <c r="E11" t="s">
        <v>1</v>
      </c>
      <c r="F11">
        <v>1</v>
      </c>
      <c r="G11">
        <v>2.4</v>
      </c>
      <c r="H11">
        <v>2.6</v>
      </c>
      <c r="I11">
        <v>44244.764965277776</v>
      </c>
      <c r="J11">
        <v>4</v>
      </c>
    </row>
    <row r="12" spans="1:10" x14ac:dyDescent="0.25">
      <c r="A12">
        <v>11</v>
      </c>
      <c r="C12">
        <v>6</v>
      </c>
      <c r="D12" t="s">
        <v>0</v>
      </c>
      <c r="E12" t="s">
        <v>1</v>
      </c>
      <c r="F12">
        <v>2</v>
      </c>
      <c r="G12">
        <v>2.4</v>
      </c>
      <c r="H12">
        <v>4.8</v>
      </c>
      <c r="I12">
        <v>44245</v>
      </c>
      <c r="J12">
        <v>2</v>
      </c>
    </row>
    <row r="13" spans="1:10" x14ac:dyDescent="0.25">
      <c r="A13">
        <v>12</v>
      </c>
      <c r="C13">
        <v>7</v>
      </c>
      <c r="D13" t="s">
        <v>2</v>
      </c>
      <c r="E13" t="s">
        <v>3</v>
      </c>
      <c r="F13">
        <v>3</v>
      </c>
      <c r="G13">
        <v>4.16</v>
      </c>
      <c r="H13">
        <v>13.51</v>
      </c>
      <c r="I13">
        <v>44246</v>
      </c>
      <c r="J13">
        <v>2</v>
      </c>
    </row>
    <row r="14" spans="1:10" x14ac:dyDescent="0.25">
      <c r="A14">
        <v>13</v>
      </c>
      <c r="C14">
        <v>8</v>
      </c>
      <c r="D14" t="s">
        <v>4</v>
      </c>
      <c r="E14" t="s">
        <v>5</v>
      </c>
      <c r="F14">
        <v>3</v>
      </c>
      <c r="G14">
        <v>6.8100000000000005</v>
      </c>
      <c r="H14">
        <v>22.68</v>
      </c>
      <c r="I14">
        <v>44247</v>
      </c>
      <c r="J14">
        <v>2</v>
      </c>
    </row>
    <row r="15" spans="1:10" x14ac:dyDescent="0.25">
      <c r="A15">
        <v>14</v>
      </c>
      <c r="C15">
        <v>9</v>
      </c>
      <c r="D15" t="s">
        <v>6</v>
      </c>
      <c r="E15" t="s">
        <v>3</v>
      </c>
      <c r="F15">
        <v>3</v>
      </c>
      <c r="G15">
        <v>8.48</v>
      </c>
      <c r="H15">
        <v>28.24</v>
      </c>
      <c r="I15">
        <v>44248</v>
      </c>
      <c r="J15">
        <v>3</v>
      </c>
    </row>
    <row r="16" spans="1:10" x14ac:dyDescent="0.25">
      <c r="A16">
        <v>15</v>
      </c>
      <c r="C16">
        <v>10</v>
      </c>
      <c r="D16" t="s">
        <v>2</v>
      </c>
      <c r="E16" t="s">
        <v>3</v>
      </c>
      <c r="F16">
        <v>1</v>
      </c>
      <c r="G16">
        <v>4.16</v>
      </c>
      <c r="H16">
        <v>4.62</v>
      </c>
      <c r="I16">
        <v>44249</v>
      </c>
      <c r="J16">
        <v>1</v>
      </c>
    </row>
    <row r="17" spans="1:10" x14ac:dyDescent="0.25">
      <c r="A17">
        <v>16</v>
      </c>
      <c r="C17">
        <v>11</v>
      </c>
      <c r="D17" t="s">
        <v>7</v>
      </c>
      <c r="E17" t="s">
        <v>5</v>
      </c>
      <c r="F17">
        <v>3</v>
      </c>
      <c r="G17">
        <v>12.34</v>
      </c>
      <c r="H17">
        <v>41.09</v>
      </c>
      <c r="I17">
        <v>44250</v>
      </c>
      <c r="J17">
        <v>3</v>
      </c>
    </row>
    <row r="18" spans="1:10" x14ac:dyDescent="0.25">
      <c r="A18">
        <v>17</v>
      </c>
      <c r="C18">
        <v>12</v>
      </c>
      <c r="D18" t="s">
        <v>8</v>
      </c>
      <c r="E18" t="s">
        <v>5</v>
      </c>
      <c r="F18">
        <v>3</v>
      </c>
      <c r="G18">
        <v>14.18</v>
      </c>
      <c r="H18">
        <v>47.22</v>
      </c>
      <c r="I18">
        <v>44251</v>
      </c>
      <c r="J18">
        <v>3</v>
      </c>
    </row>
    <row r="19" spans="1:10" x14ac:dyDescent="0.25">
      <c r="A19">
        <v>18</v>
      </c>
      <c r="C19">
        <v>13</v>
      </c>
      <c r="D19" t="s">
        <v>2</v>
      </c>
      <c r="E19" t="s">
        <v>3</v>
      </c>
      <c r="F19">
        <v>1</v>
      </c>
      <c r="G19">
        <v>4.16</v>
      </c>
      <c r="H19">
        <v>4.5</v>
      </c>
      <c r="I19">
        <v>44252</v>
      </c>
      <c r="J19">
        <v>4</v>
      </c>
    </row>
    <row r="20" spans="1:10" x14ac:dyDescent="0.25">
      <c r="A20">
        <v>19</v>
      </c>
      <c r="C20">
        <v>14</v>
      </c>
      <c r="D20" t="s">
        <v>9</v>
      </c>
      <c r="E20" t="s">
        <v>3</v>
      </c>
      <c r="F20">
        <v>2</v>
      </c>
      <c r="G20">
        <v>18.510000000000002</v>
      </c>
      <c r="H20">
        <v>40.06</v>
      </c>
      <c r="I20">
        <v>44253</v>
      </c>
      <c r="J20">
        <v>4</v>
      </c>
    </row>
    <row r="21" spans="1:10" x14ac:dyDescent="0.25">
      <c r="A21">
        <v>20</v>
      </c>
      <c r="C21">
        <v>15</v>
      </c>
      <c r="D21" t="s">
        <v>0</v>
      </c>
      <c r="E21" t="s">
        <v>1</v>
      </c>
      <c r="F21">
        <v>1</v>
      </c>
      <c r="G21">
        <v>2.4</v>
      </c>
      <c r="H21">
        <v>2.6</v>
      </c>
      <c r="I21">
        <v>44254</v>
      </c>
      <c r="J21">
        <v>4</v>
      </c>
    </row>
    <row r="22" spans="1:10" x14ac:dyDescent="0.25">
      <c r="A22">
        <v>21</v>
      </c>
      <c r="C22">
        <v>16</v>
      </c>
      <c r="D22" t="s">
        <v>0</v>
      </c>
      <c r="E22" t="s">
        <v>1</v>
      </c>
      <c r="F22">
        <v>2</v>
      </c>
      <c r="G22">
        <v>2.4</v>
      </c>
      <c r="H22">
        <v>4.8</v>
      </c>
      <c r="I22">
        <v>43908</v>
      </c>
      <c r="J22">
        <v>2</v>
      </c>
    </row>
    <row r="23" spans="1:10" x14ac:dyDescent="0.25">
      <c r="A23">
        <v>22</v>
      </c>
      <c r="C23">
        <v>17</v>
      </c>
      <c r="D23" t="s">
        <v>2</v>
      </c>
      <c r="E23" t="s">
        <v>3</v>
      </c>
      <c r="F23">
        <v>3</v>
      </c>
      <c r="G23">
        <v>4.16</v>
      </c>
      <c r="H23">
        <v>13.51</v>
      </c>
      <c r="I23">
        <v>43909</v>
      </c>
      <c r="J23">
        <v>2</v>
      </c>
    </row>
    <row r="24" spans="1:10" x14ac:dyDescent="0.25">
      <c r="A24">
        <v>23</v>
      </c>
      <c r="C24">
        <v>18</v>
      </c>
      <c r="D24" t="s">
        <v>4</v>
      </c>
      <c r="E24" t="s">
        <v>5</v>
      </c>
      <c r="F24">
        <v>3</v>
      </c>
      <c r="G24">
        <v>6.8100000000000005</v>
      </c>
      <c r="H24">
        <v>22.68</v>
      </c>
      <c r="I24">
        <v>43910</v>
      </c>
      <c r="J24">
        <v>2</v>
      </c>
    </row>
    <row r="25" spans="1:10" x14ac:dyDescent="0.25">
      <c r="A25">
        <v>24</v>
      </c>
      <c r="C25">
        <v>19</v>
      </c>
      <c r="D25" t="s">
        <v>6</v>
      </c>
      <c r="E25" t="s">
        <v>3</v>
      </c>
      <c r="F25">
        <v>3</v>
      </c>
      <c r="G25">
        <v>8.48</v>
      </c>
      <c r="H25">
        <v>28.24</v>
      </c>
      <c r="I25">
        <v>43911</v>
      </c>
      <c r="J25">
        <v>3</v>
      </c>
    </row>
    <row r="26" spans="1:10" x14ac:dyDescent="0.25">
      <c r="A26">
        <v>25</v>
      </c>
      <c r="C26">
        <v>20</v>
      </c>
      <c r="D26" t="s">
        <v>2</v>
      </c>
      <c r="E26" t="s">
        <v>3</v>
      </c>
      <c r="F26">
        <v>1</v>
      </c>
      <c r="G26">
        <v>4.16</v>
      </c>
      <c r="H26">
        <v>4.62</v>
      </c>
      <c r="I26">
        <v>43912</v>
      </c>
      <c r="J26">
        <v>1</v>
      </c>
    </row>
    <row r="27" spans="1:10" x14ac:dyDescent="0.25">
      <c r="A27">
        <v>26</v>
      </c>
      <c r="C27">
        <v>21</v>
      </c>
      <c r="D27" t="s">
        <v>7</v>
      </c>
      <c r="E27" t="s">
        <v>5</v>
      </c>
      <c r="F27">
        <v>3</v>
      </c>
      <c r="G27">
        <v>12.34</v>
      </c>
      <c r="H27">
        <v>41.09</v>
      </c>
      <c r="I27">
        <v>43913</v>
      </c>
      <c r="J27">
        <v>3</v>
      </c>
    </row>
    <row r="28" spans="1:10" x14ac:dyDescent="0.25">
      <c r="A28">
        <v>27</v>
      </c>
      <c r="C28">
        <v>22</v>
      </c>
      <c r="D28" t="s">
        <v>8</v>
      </c>
      <c r="E28" t="s">
        <v>5</v>
      </c>
      <c r="F28">
        <v>3</v>
      </c>
      <c r="G28">
        <v>14.18</v>
      </c>
      <c r="H28">
        <v>47.22</v>
      </c>
      <c r="I28">
        <v>43914</v>
      </c>
      <c r="J28">
        <v>3</v>
      </c>
    </row>
    <row r="29" spans="1:10" x14ac:dyDescent="0.25">
      <c r="A29">
        <v>28</v>
      </c>
      <c r="C29">
        <v>23</v>
      </c>
      <c r="D29" t="s">
        <v>2</v>
      </c>
      <c r="E29" t="s">
        <v>3</v>
      </c>
      <c r="F29">
        <v>1</v>
      </c>
      <c r="G29">
        <v>4.16</v>
      </c>
      <c r="H29">
        <v>4.5</v>
      </c>
      <c r="I29">
        <v>43915</v>
      </c>
      <c r="J29">
        <v>4</v>
      </c>
    </row>
    <row r="30" spans="1:10" x14ac:dyDescent="0.25">
      <c r="A30">
        <v>29</v>
      </c>
      <c r="C30">
        <v>24</v>
      </c>
      <c r="D30" t="s">
        <v>9</v>
      </c>
      <c r="E30" t="s">
        <v>3</v>
      </c>
      <c r="F30">
        <v>2</v>
      </c>
      <c r="G30">
        <v>18.510000000000002</v>
      </c>
      <c r="H30">
        <v>40.06</v>
      </c>
      <c r="I30">
        <v>43916</v>
      </c>
      <c r="J30">
        <v>4</v>
      </c>
    </row>
    <row r="31" spans="1:10" x14ac:dyDescent="0.25">
      <c r="A31">
        <v>30</v>
      </c>
      <c r="C31">
        <v>25</v>
      </c>
      <c r="D31" t="s">
        <v>0</v>
      </c>
      <c r="E31" t="s">
        <v>1</v>
      </c>
      <c r="F31">
        <v>1</v>
      </c>
      <c r="G31">
        <v>2.4</v>
      </c>
      <c r="H31">
        <v>2.6</v>
      </c>
      <c r="I31">
        <v>43917</v>
      </c>
      <c r="J31">
        <v>4</v>
      </c>
    </row>
  </sheetData>
  <pageMargins left="0.7" right="0.7" top="0.75" bottom="0.75" header="0.3" footer="0.3"/>
  <pageSetup paperSize="9" orientation="portrait" horizontalDpi="4294967293"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F17979-08B8-44A0-A0FC-D0749E175717}">
  <dimension ref="A1:C6"/>
  <sheetViews>
    <sheetView workbookViewId="0">
      <selection activeCell="B5" sqref="B2:B5"/>
    </sheetView>
  </sheetViews>
  <sheetFormatPr defaultRowHeight="15" x14ac:dyDescent="0.25"/>
  <cols>
    <col min="1" max="1" width="16.140625" customWidth="1"/>
    <col min="2" max="2" width="14.85546875" customWidth="1"/>
    <col min="3" max="3" width="14.28515625" customWidth="1"/>
  </cols>
  <sheetData>
    <row r="1" spans="1:3" x14ac:dyDescent="0.25">
      <c r="A1" t="s">
        <v>40</v>
      </c>
      <c r="B1" t="s">
        <v>53</v>
      </c>
      <c r="C1" s="16" t="s">
        <v>47</v>
      </c>
    </row>
    <row r="2" spans="1:3" x14ac:dyDescent="0.25">
      <c r="A2" t="s">
        <v>34</v>
      </c>
      <c r="B2" t="s">
        <v>54</v>
      </c>
      <c r="C2" t="s">
        <v>48</v>
      </c>
    </row>
    <row r="3" spans="1:3" x14ac:dyDescent="0.25">
      <c r="A3" t="s">
        <v>41</v>
      </c>
      <c r="B3" t="s">
        <v>55</v>
      </c>
      <c r="C3" t="s">
        <v>49</v>
      </c>
    </row>
    <row r="4" spans="1:3" x14ac:dyDescent="0.25">
      <c r="A4" t="s">
        <v>42</v>
      </c>
      <c r="B4" t="s">
        <v>57</v>
      </c>
      <c r="C4" t="s">
        <v>50</v>
      </c>
    </row>
    <row r="5" spans="1:3" x14ac:dyDescent="0.25">
      <c r="A5" t="s">
        <v>43</v>
      </c>
      <c r="B5" t="s">
        <v>56</v>
      </c>
    </row>
    <row r="6" spans="1:3" x14ac:dyDescent="0.25">
      <c r="A6" t="s">
        <v>44</v>
      </c>
    </row>
  </sheetData>
  <pageMargins left="0.7" right="0.7" top="0.75" bottom="0.75" header="0.3" footer="0.3"/>
  <pageSetup paperSize="9" orientation="portrait" horizontalDpi="4294967293"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3</vt:i4>
      </vt:variant>
    </vt:vector>
  </HeadingPairs>
  <TitlesOfParts>
    <vt:vector size="9" baseType="lpstr">
      <vt:lpstr>Raw</vt:lpstr>
      <vt:lpstr>Final</vt:lpstr>
      <vt:lpstr>CarRent</vt:lpstr>
      <vt:lpstr>Rideshare</vt:lpstr>
      <vt:lpstr>HouseRent</vt:lpstr>
      <vt:lpstr>Setting</vt:lpstr>
      <vt:lpstr>BankAccount</vt:lpstr>
      <vt:lpstr>PetrolStation</vt:lpstr>
      <vt:lpstr>RideshareName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TeachExcel.om</dc:creator>
  <cp:lastModifiedBy>Haitham Alqadamani</cp:lastModifiedBy>
  <dcterms:created xsi:type="dcterms:W3CDTF">2020-12-14T22:27:07Z</dcterms:created>
  <dcterms:modified xsi:type="dcterms:W3CDTF">2022-02-23T13:30:19Z</dcterms:modified>
</cp:coreProperties>
</file>